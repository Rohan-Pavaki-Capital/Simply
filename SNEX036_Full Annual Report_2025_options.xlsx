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Executive Summary" sheetId="1" state="visible" r:id="rId1"/>
    <sheet xmlns:r="http://schemas.openxmlformats.org/officeDocument/2006/relationships" name="2. Plan Roll-Forward" sheetId="2" state="visible" r:id="rId2"/>
    <sheet xmlns:r="http://schemas.openxmlformats.org/officeDocument/2006/relationships" name="3. Tranche Details" sheetId="3" state="visible" r:id="rId3"/>
    <sheet xmlns:r="http://schemas.openxmlformats.org/officeDocument/2006/relationships" name="4. Valuation Inputs" sheetId="4" state="visible" r:id="rId4"/>
    <sheet xmlns:r="http://schemas.openxmlformats.org/officeDocument/2006/relationships" name="5. Plan Descriptions" sheetId="5" state="visible" r:id="rId5"/>
    <sheet xmlns:r="http://schemas.openxmlformats.org/officeDocument/2006/relationships" name="6. KPIs &amp; Ratios" sheetId="6" state="visible" r:id="rId6"/>
    <sheet xmlns:r="http://schemas.openxmlformats.org/officeDocument/2006/relationships" name="7. Data Quality" sheetId="7" state="visible" r:id="rId7"/>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
  </numFmts>
  <fonts count="10">
    <font>
      <name val="Calibri"/>
      <family val="2"/>
      <color theme="1"/>
      <sz val="11"/>
      <scheme val="minor"/>
    </font>
    <font>
      <name val="Arial"/>
      <b val="1"/>
      <color rgb="00FFFFFF"/>
      <sz val="16"/>
    </font>
    <font>
      <name val="Arial"/>
      <b val="1"/>
      <color rgb="00000000"/>
      <sz val="11"/>
    </font>
    <font>
      <name val="Arial"/>
      <b val="1"/>
      <sz val="10"/>
    </font>
    <font>
      <name val="Arial"/>
      <sz val="10"/>
    </font>
    <font>
      <name val="Arial"/>
      <b val="1"/>
      <color rgb="00FFFFFF"/>
      <sz val="12"/>
    </font>
    <font>
      <name val="Arial"/>
      <b val="1"/>
      <i val="1"/>
      <sz val="9"/>
    </font>
    <font>
      <name val="Arial"/>
      <i val="1"/>
      <color rgb="00595959"/>
      <sz val="9"/>
    </font>
    <font>
      <name val="Arial"/>
      <b val="1"/>
      <color rgb="00006100"/>
      <sz val="10"/>
    </font>
    <font>
      <name val="Arial"/>
      <b val="1"/>
      <color rgb="009C0006"/>
      <sz val="10"/>
    </font>
  </fonts>
  <fills count="9">
    <fill>
      <patternFill/>
    </fill>
    <fill>
      <patternFill patternType="gray125"/>
    </fill>
    <fill>
      <patternFill patternType="solid">
        <fgColor rgb="001F4E78"/>
      </patternFill>
    </fill>
    <fill>
      <patternFill patternType="solid">
        <fgColor rgb="00DDEBF7"/>
      </patternFill>
    </fill>
    <fill>
      <patternFill patternType="solid">
        <fgColor rgb="002E75B6"/>
      </patternFill>
    </fill>
    <fill>
      <patternFill patternType="solid">
        <fgColor rgb="00FFF2CC"/>
      </patternFill>
    </fill>
    <fill>
      <patternFill patternType="solid">
        <fgColor rgb="00F2F2F2"/>
      </patternFill>
    </fill>
    <fill>
      <patternFill patternType="solid">
        <fgColor rgb="00C6EFCE"/>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xf numFmtId="0" fontId="3" fillId="0" borderId="0" pivotButton="0" quotePrefix="0" xfId="0"/>
    <xf numFmtId="0" fontId="4" fillId="0" borderId="0" pivotButton="0" quotePrefix="0" xfId="0"/>
    <xf numFmtId="0" fontId="5" fillId="4"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3" fontId="4" fillId="0" borderId="1" applyAlignment="1" pivotButton="0" quotePrefix="0" xfId="0">
      <alignment horizontal="right" vertical="center"/>
    </xf>
    <xf numFmtId="164" fontId="4" fillId="0" borderId="1" applyAlignment="1" pivotButton="0" quotePrefix="0" xfId="0">
      <alignment horizontal="right" vertical="center"/>
    </xf>
    <xf numFmtId="4" fontId="4" fillId="0" borderId="1" applyAlignment="1" pivotButton="0" quotePrefix="0" xfId="0">
      <alignment horizontal="right" vertical="center"/>
    </xf>
    <xf numFmtId="0" fontId="4" fillId="0" borderId="1" applyAlignment="1" pivotButton="0" quotePrefix="0" xfId="0">
      <alignment horizontal="right" vertical="center"/>
    </xf>
    <xf numFmtId="1" fontId="4" fillId="0" borderId="1" applyAlignment="1" pivotButton="0" quotePrefix="0" xfId="0">
      <alignment horizontal="right" vertical="center"/>
    </xf>
    <xf numFmtId="0" fontId="3" fillId="5" borderId="1" applyAlignment="1" pivotButton="0" quotePrefix="0" xfId="0">
      <alignment horizontal="left" vertical="center" wrapText="1"/>
    </xf>
    <xf numFmtId="0" fontId="3" fillId="5" borderId="1" applyAlignment="1" pivotButton="0" quotePrefix="0" xfId="0">
      <alignment horizontal="right" vertical="center"/>
    </xf>
    <xf numFmtId="3" fontId="3" fillId="5" borderId="1" applyAlignment="1" pivotButton="0" quotePrefix="0" xfId="0">
      <alignment horizontal="right" vertical="center"/>
    </xf>
    <xf numFmtId="164" fontId="3" fillId="5" borderId="1" applyAlignment="1" pivotButton="0" quotePrefix="0" xfId="0">
      <alignment horizontal="right" vertical="center"/>
    </xf>
    <xf numFmtId="165" fontId="4" fillId="0" borderId="1" applyAlignment="1" pivotButton="0" quotePrefix="0" xfId="0">
      <alignment horizontal="right" vertical="center"/>
    </xf>
    <xf numFmtId="0" fontId="4" fillId="0" borderId="1" applyAlignment="1" pivotButton="0" quotePrefix="0" xfId="0">
      <alignment horizontal="center" vertical="center" wrapText="1"/>
    </xf>
    <xf numFmtId="165" fontId="3" fillId="5" borderId="1" applyAlignment="1" pivotButton="0" quotePrefix="0" xfId="0">
      <alignment horizontal="right" vertical="center"/>
    </xf>
    <xf numFmtId="0" fontId="3" fillId="6" borderId="1" applyAlignment="1" pivotButton="0" quotePrefix="0" xfId="0">
      <alignment horizontal="left" vertical="center" wrapText="1"/>
    </xf>
    <xf numFmtId="0" fontId="4" fillId="6" borderId="1" applyAlignment="1" pivotButton="0" quotePrefix="0" xfId="0">
      <alignment horizontal="left" vertical="center" wrapText="1"/>
    </xf>
    <xf numFmtId="0" fontId="4" fillId="6" borderId="1" applyAlignment="1" pivotButton="0" quotePrefix="0" xfId="0">
      <alignment horizontal="right" vertical="center"/>
    </xf>
    <xf numFmtId="165" fontId="4" fillId="6" borderId="1" applyAlignment="1" pivotButton="0" quotePrefix="0" xfId="0">
      <alignment horizontal="right" vertical="center"/>
    </xf>
    <xf numFmtId="4" fontId="4" fillId="6" borderId="1" applyAlignment="1" pivotButton="0" quotePrefix="0" xfId="0">
      <alignment horizontal="right" vertical="center"/>
    </xf>
    <xf numFmtId="0" fontId="4" fillId="6" borderId="1" applyAlignment="1" pivotButton="0" quotePrefix="0" xfId="0">
      <alignment horizontal="center" vertical="center" wrapText="1"/>
    </xf>
    <xf numFmtId="0" fontId="6" fillId="0" borderId="0" pivotButton="0" quotePrefix="0" xfId="0"/>
    <xf numFmtId="0" fontId="7" fillId="0" borderId="0" pivotButton="0" quotePrefix="0" xfId="0"/>
    <xf numFmtId="10" fontId="4" fillId="0" borderId="1" applyAlignment="1" pivotButton="0" quotePrefix="0" xfId="0">
      <alignment horizontal="right" vertical="center"/>
    </xf>
    <xf numFmtId="2" fontId="4" fillId="0" borderId="1" applyAlignment="1" pivotButton="0" quotePrefix="0" xfId="0">
      <alignment horizontal="right" vertical="center"/>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166" fontId="4" fillId="0" borderId="1" applyAlignment="1" pivotButton="0" quotePrefix="0" xfId="0">
      <alignment horizontal="right" vertical="center"/>
    </xf>
    <xf numFmtId="0" fontId="7" fillId="0" borderId="1" applyAlignment="1" pivotButton="0" quotePrefix="0" xfId="0">
      <alignment horizontal="left" vertical="center" wrapText="1"/>
    </xf>
    <xf numFmtId="0" fontId="8" fillId="7" borderId="1" applyAlignment="1" pivotButton="0" quotePrefix="0" xfId="0">
      <alignment horizontal="center" vertical="center" wrapText="1"/>
    </xf>
    <xf numFmtId="0" fontId="9" fillId="8" borderId="1" applyAlignment="1" pivotButton="0" quotePrefix="0" xfId="0">
      <alignment horizontal="center" vertical="center" wrapText="1"/>
    </xf>
    <xf numFmtId="1" fontId="4"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22" customWidth="1" min="1" max="1"/>
    <col width="30" customWidth="1" min="2" max="2"/>
    <col width="18" customWidth="1" min="3" max="3"/>
    <col width="14" customWidth="1" min="4" max="4"/>
    <col width="18" customWidth="1" min="5" max="5"/>
    <col width="16" customWidth="1" min="6" max="6"/>
    <col width="14" customWidth="1" min="7" max="7"/>
  </cols>
  <sheetData>
    <row r="1" ht="30" customHeight="1">
      <c r="A1" s="1" t="inlineStr">
        <is>
          <t>STONEX — SHARE-BASED COMPENSATION ANALYSIS</t>
        </is>
      </c>
    </row>
    <row r="3">
      <c r="A3" s="2" t="inlineStr">
        <is>
          <t>Report Information</t>
        </is>
      </c>
    </row>
    <row r="4">
      <c r="A4" s="3" t="inlineStr">
        <is>
          <t>Company</t>
        </is>
      </c>
      <c r="B4" s="4" t="inlineStr">
        <is>
          <t>StoneX</t>
        </is>
      </c>
    </row>
    <row r="5">
      <c r="A5" s="3" t="inlineStr">
        <is>
          <t>Report Period</t>
        </is>
      </c>
      <c r="B5" s="4" t="inlineStr">
        <is>
          <t>Year ended September 30, 2025</t>
        </is>
      </c>
    </row>
    <row r="6">
      <c r="A6" s="3" t="inlineStr">
        <is>
          <t>Currency</t>
        </is>
      </c>
      <c r="B6" s="4" t="inlineStr">
        <is>
          <t>USD ($)</t>
        </is>
      </c>
    </row>
    <row r="7">
      <c r="A7" s="3" t="inlineStr">
        <is>
          <t>Reporting Standard</t>
        </is>
      </c>
      <c r="B7" s="4" t="inlineStr">
        <is>
          <t>US_GAAP</t>
        </is>
      </c>
    </row>
    <row r="8">
      <c r="A8" s="3" t="inlineStr">
        <is>
          <t>Units of Outstanding Shares</t>
        </is>
      </c>
      <c r="B8" s="4" t="inlineStr">
        <is>
          <t>Absolute (as reported in the filing)</t>
        </is>
      </c>
    </row>
    <row r="9">
      <c r="A9" s="3" t="inlineStr">
        <is>
          <t>Total Plans Disclosed</t>
        </is>
      </c>
      <c r="B9" s="4" t="n">
        <v>3</v>
      </c>
    </row>
    <row r="10">
      <c r="A10" s="3" t="inlineStr">
        <is>
          <t>Plans with Roll-forward Data</t>
        </is>
      </c>
      <c r="B10" s="4" t="n">
        <v>3</v>
      </c>
    </row>
    <row r="11">
      <c r="A11" s="3" t="inlineStr">
        <is>
          <t>Generated</t>
        </is>
      </c>
      <c r="B11" s="4" t="inlineStr">
        <is>
          <t>2026-06-16 06:36</t>
        </is>
      </c>
    </row>
    <row r="12">
      <c r="A12" s="3" t="inlineStr">
        <is>
          <t>Source PDF</t>
        </is>
      </c>
      <c r="B12" s="4" t="inlineStr">
        <is>
          <t>SNEX036_Full Annual Report_2025.pdf</t>
        </is>
      </c>
    </row>
    <row r="14">
      <c r="A14" s="2" t="inlineStr">
        <is>
          <t>Plan Summary at a Glance</t>
        </is>
      </c>
    </row>
    <row r="15" ht="30" customHeight="1">
      <c r="A15" s="5" t="inlineStr">
        <is>
          <t>Plan</t>
        </is>
      </c>
      <c r="B15" s="5" t="inlineStr">
        <is>
          <t>Type</t>
        </is>
      </c>
      <c r="C15" s="5" t="inlineStr">
        <is>
          <t>Closing Balance</t>
        </is>
      </c>
      <c r="D15" s="5" t="inlineStr">
        <is>
          <t>% of Total</t>
        </is>
      </c>
      <c r="E15" s="5" t="inlineStr">
        <is>
          <t>Avg Exercise Price</t>
        </is>
      </c>
      <c r="F15" s="5" t="inlineStr">
        <is>
          <t>Fair Value/Option</t>
        </is>
      </c>
      <c r="G15" s="5" t="inlineStr">
        <is>
          <t>Vesting (yrs)</t>
        </is>
      </c>
    </row>
    <row r="16">
      <c r="A16" s="6" t="inlineStr">
        <is>
          <t>2022 Omnibus Incentive Compensation Plan — Stock Options</t>
        </is>
      </c>
      <c r="B16" s="7" t="inlineStr">
        <is>
          <t>OTHER</t>
        </is>
      </c>
      <c r="C16" s="8" t="n">
        <v>4660751</v>
      </c>
      <c r="D16" s="9">
        <f>C16/SUM($C$16:$C$18)</f>
        <v/>
      </c>
      <c r="E16" s="10" t="n">
        <v>39.97</v>
      </c>
      <c r="F16" s="10" t="n">
        <v>27.93</v>
      </c>
      <c r="G16" s="11" t="n"/>
    </row>
    <row r="17">
      <c r="A17" s="6" t="inlineStr">
        <is>
          <t>2022 Omnibus Incentive Compensation Plan — Restricted Stock Units</t>
        </is>
      </c>
      <c r="B17" s="7" t="inlineStr">
        <is>
          <t>RSU</t>
        </is>
      </c>
      <c r="C17" s="8" t="n">
        <v>1507799</v>
      </c>
      <c r="D17" s="9">
        <f>C17/SUM($C$16:$C$18)</f>
        <v/>
      </c>
      <c r="E17" s="11" t="n"/>
      <c r="F17" s="10" t="n">
        <v>58.64</v>
      </c>
      <c r="G17" s="11" t="n"/>
    </row>
    <row r="18">
      <c r="A18" s="6" t="inlineStr">
        <is>
          <t>2022 Omnibus Incentive Compensation Plan — Performance Share Units</t>
        </is>
      </c>
      <c r="B18" s="7" t="inlineStr">
        <is>
          <t>PSU</t>
        </is>
      </c>
      <c r="C18" s="8" t="n">
        <v>225000</v>
      </c>
      <c r="D18" s="9">
        <f>C18/SUM($C$16:$C$18)</f>
        <v/>
      </c>
      <c r="E18" s="11" t="n"/>
      <c r="F18" s="10" t="n">
        <v>76.12</v>
      </c>
      <c r="G18" s="12" t="n">
        <v>4</v>
      </c>
    </row>
    <row r="19">
      <c r="A19" s="13" t="inlineStr">
        <is>
          <t>TOTAL</t>
        </is>
      </c>
      <c r="B19" s="14" t="n"/>
      <c r="C19" s="15">
        <f>SUM(C16:C18)</f>
        <v/>
      </c>
      <c r="D19" s="16" t="inlineStr">
        <is>
          <t>100.0%</t>
        </is>
      </c>
      <c r="E19" s="14" t="n"/>
      <c r="F19" s="14" t="n"/>
      <c r="G19" s="14" t="n"/>
    </row>
    <row r="22">
      <c r="A22" s="2" t="inlineStr">
        <is>
          <t>Key Insights</t>
        </is>
      </c>
    </row>
    <row r="23">
      <c r="A23" s="3" t="inlineStr">
        <is>
          <t>• Total awards outstanding:</t>
        </is>
      </c>
      <c r="C23" s="4" t="inlineStr">
        <is>
          <t>6,393,550 shares across 3 plan(s)</t>
        </is>
      </c>
    </row>
    <row r="24">
      <c r="A24" s="3" t="inlineStr">
        <is>
          <t>• Largest plan:</t>
        </is>
      </c>
      <c r="C24" s="4" t="inlineStr">
        <is>
          <t>2022 Omnibus Incentive Compensation Plan — Stock Options — 72.9% of total</t>
        </is>
      </c>
    </row>
    <row r="25">
      <c r="A25" s="3" t="inlineStr">
        <is>
          <t>• Nil-cost plans:</t>
        </is>
      </c>
      <c r="C25" s="4" t="inlineStr">
        <is>
          <t>2 of 3</t>
        </is>
      </c>
    </row>
    <row r="26">
      <c r="A26" s="3" t="inlineStr">
        <is>
          <t>• Valuation model(s):</t>
        </is>
      </c>
      <c r="C26" s="4" t="inlineStr">
        <is>
          <t>Black-Scholes-Merton</t>
        </is>
      </c>
    </row>
  </sheetData>
  <mergeCells count="21">
    <mergeCell ref="A14:G14"/>
    <mergeCell ref="A24:B24"/>
    <mergeCell ref="C24:G24"/>
    <mergeCell ref="A22:G22"/>
    <mergeCell ref="B8:G8"/>
    <mergeCell ref="C26:G26"/>
    <mergeCell ref="B10:G10"/>
    <mergeCell ref="A25:B25"/>
    <mergeCell ref="B9:G9"/>
    <mergeCell ref="C25:G25"/>
    <mergeCell ref="B6:G6"/>
    <mergeCell ref="A26:B26"/>
    <mergeCell ref="A1:G1"/>
    <mergeCell ref="B5:G5"/>
    <mergeCell ref="B4:G4"/>
    <mergeCell ref="C23:G23"/>
    <mergeCell ref="A23:B23"/>
    <mergeCell ref="B7:G7"/>
    <mergeCell ref="A3:G3"/>
    <mergeCell ref="B12:G12"/>
    <mergeCell ref="B11:G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cols>
    <col width="22" customWidth="1" min="1" max="1"/>
    <col width="24" customWidth="1" min="2" max="2"/>
    <col width="14" customWidth="1" min="3" max="3"/>
    <col width="14" customWidth="1" min="4" max="4"/>
    <col width="14" customWidth="1" min="5" max="5"/>
    <col width="14" customWidth="1" min="6" max="6"/>
    <col width="14" customWidth="1" min="7" max="7"/>
    <col width="14" customWidth="1" min="8" max="8"/>
    <col width="12" customWidth="1" min="9" max="9"/>
    <col width="18" customWidth="1" min="10" max="10"/>
    <col width="18" customWidth="1" min="11" max="11"/>
    <col width="18" customWidth="1" min="12" max="12"/>
    <col width="14" customWidth="1" min="13" max="13"/>
  </cols>
  <sheetData>
    <row r="1" ht="28" customHeight="1">
      <c r="A1" s="1" t="inlineStr">
        <is>
          <t>PLAN ROLL-FORWARD — Year ended September 30, 2025</t>
        </is>
      </c>
    </row>
    <row r="3">
      <c r="A3" s="2" t="inlineStr">
        <is>
          <t>Current Year Movement</t>
        </is>
      </c>
    </row>
    <row r="4" ht="35" customHeight="1">
      <c r="A4" s="5" t="inlineStr">
        <is>
          <t>Plan</t>
        </is>
      </c>
      <c r="B4" s="5" t="inlineStr">
        <is>
          <t>Plan Type</t>
        </is>
      </c>
      <c r="C4" s="5" t="inlineStr">
        <is>
          <t>Opening</t>
        </is>
      </c>
      <c r="D4" s="5" t="inlineStr">
        <is>
          <t>Granted</t>
        </is>
      </c>
      <c r="E4" s="5" t="inlineStr">
        <is>
          <t>Exercised</t>
        </is>
      </c>
      <c r="F4" s="5" t="inlineStr">
        <is>
          <t>Lapsed/Forfeited</t>
        </is>
      </c>
      <c r="G4" s="5" t="inlineStr">
        <is>
          <t>Vested</t>
        </is>
      </c>
      <c r="H4" s="5" t="inlineStr">
        <is>
          <t>Closing</t>
        </is>
      </c>
      <c r="I4" s="5" t="inlineStr">
        <is>
          <t>Net Δ</t>
        </is>
      </c>
      <c r="J4" s="5" t="inlineStr">
        <is>
          <t>Wtd Avg Exercise Price</t>
        </is>
      </c>
      <c r="K4" s="5" t="inlineStr">
        <is>
          <t>Fair Value/Option</t>
        </is>
      </c>
      <c r="L4" s="5" t="inlineStr">
        <is>
          <t>Wtd Avg Remaining Life (yrs)</t>
        </is>
      </c>
      <c r="M4" s="5" t="inlineStr">
        <is>
          <t>Math Check</t>
        </is>
      </c>
    </row>
    <row r="5">
      <c r="A5" s="6" t="inlineStr">
        <is>
          <t>2022 Omnibus Incentive Compensation Plan — Stock Options</t>
        </is>
      </c>
      <c r="B5" s="7" t="inlineStr">
        <is>
          <t>OTHER</t>
        </is>
      </c>
      <c r="C5" s="17" t="n">
        <v>4591552</v>
      </c>
      <c r="D5" s="17" t="n">
        <v>533127</v>
      </c>
      <c r="E5" s="17" t="n">
        <v>407084</v>
      </c>
      <c r="F5" s="17" t="n">
        <v>56844</v>
      </c>
      <c r="G5" s="11" t="n"/>
      <c r="H5" s="17" t="n">
        <v>4660751</v>
      </c>
      <c r="I5" s="17">
        <f>IFERROR(H5-C5,"")</f>
        <v/>
      </c>
      <c r="J5" s="10" t="n">
        <v>39.97</v>
      </c>
      <c r="K5" s="10" t="n">
        <v>27.93</v>
      </c>
      <c r="L5" s="10" t="n">
        <v>4.47</v>
      </c>
      <c r="M5" s="18">
        <f>IF(OR(C5="",H5=""),"n/a",IF(ABS((C5+IFERROR(D5,0)-IFERROR(E5,0)-IFERROR(F5,0))-H5)&lt;=1,"✓ OK","✗ "&amp;TEXT((C5+IFERROR(D5,0)-IFERROR(E5,0)-IFERROR(F5,0))-H5,"#,##0")))</f>
        <v/>
      </c>
    </row>
    <row r="6">
      <c r="A6" s="6" t="inlineStr">
        <is>
          <t>2022 Omnibus Incentive Compensation Plan — Restricted Stock Units</t>
        </is>
      </c>
      <c r="B6" s="7" t="inlineStr">
        <is>
          <t>RSU</t>
        </is>
      </c>
      <c r="C6" s="17" t="n">
        <v>1507715</v>
      </c>
      <c r="D6" s="17" t="n">
        <v>749809</v>
      </c>
      <c r="E6" s="11" t="n"/>
      <c r="F6" s="17" t="n">
        <v>1327</v>
      </c>
      <c r="G6" s="17" t="n">
        <v>748398</v>
      </c>
      <c r="H6" s="17" t="n">
        <v>1507799</v>
      </c>
      <c r="I6" s="17">
        <f>IFERROR(H6-C6,"")</f>
        <v/>
      </c>
      <c r="J6" s="11" t="n"/>
      <c r="K6" s="10" t="n">
        <v>58.64</v>
      </c>
      <c r="L6" s="10" t="n">
        <v>1.24</v>
      </c>
      <c r="M6" s="18">
        <f>IF(OR(C6="",H6=""),"n/a",IF(ABS((C6+IFERROR(D6,0)-IFERROR(E6,0)-IFERROR(F6,0))-H6)&lt;=1,"✓ OK","✗ "&amp;TEXT((C6+IFERROR(D6,0)-IFERROR(E6,0)-IFERROR(F6,0))-H6,"#,##0")))</f>
        <v/>
      </c>
    </row>
    <row r="7">
      <c r="A7" s="6" t="inlineStr">
        <is>
          <t>2022 Omnibus Incentive Compensation Plan — Performance Share Units</t>
        </is>
      </c>
      <c r="B7" s="7" t="inlineStr">
        <is>
          <t>PSU</t>
        </is>
      </c>
      <c r="C7" s="17" t="n">
        <v>0</v>
      </c>
      <c r="D7" s="17" t="n">
        <v>225000</v>
      </c>
      <c r="E7" s="11" t="n"/>
      <c r="F7" s="11" t="n"/>
      <c r="G7" s="11" t="n"/>
      <c r="H7" s="17" t="n">
        <v>225000</v>
      </c>
      <c r="I7" s="17">
        <f>IFERROR(H7-C7,"")</f>
        <v/>
      </c>
      <c r="J7" s="11" t="n"/>
      <c r="K7" s="10" t="n">
        <v>76.12</v>
      </c>
      <c r="L7" s="10" t="n">
        <v>3.5</v>
      </c>
      <c r="M7" s="18">
        <f>IF(OR(C7="",H7=""),"n/a",IF(ABS((C7+IFERROR(D7,0)-IFERROR(E7,0)-IFERROR(F7,0))-H7)&lt;=1,"✓ OK","✗ "&amp;TEXT((C7+IFERROR(D7,0)-IFERROR(E7,0)-IFERROR(F7,0))-H7,"#,##0")))</f>
        <v/>
      </c>
    </row>
    <row r="8">
      <c r="A8" s="13" t="inlineStr">
        <is>
          <t>TOTAL</t>
        </is>
      </c>
      <c r="B8" s="14" t="n"/>
      <c r="C8" s="19">
        <f>SUM(C5:C7)</f>
        <v/>
      </c>
      <c r="D8" s="19">
        <f>SUM(D5:D7)</f>
        <v/>
      </c>
      <c r="E8" s="19">
        <f>SUM(E5:E7)</f>
        <v/>
      </c>
      <c r="F8" s="19">
        <f>SUM(F5:F7)</f>
        <v/>
      </c>
      <c r="G8" s="19">
        <f>SUM(G5:G7)</f>
        <v/>
      </c>
      <c r="H8" s="19">
        <f>SUM(H5:H7)</f>
        <v/>
      </c>
      <c r="I8" s="19">
        <f>SUM(I5:I7)</f>
        <v/>
      </c>
      <c r="J8" s="14" t="n"/>
      <c r="K8" s="14" t="n"/>
      <c r="L8" s="14" t="n"/>
      <c r="M8" s="14" t="n"/>
    </row>
    <row r="11">
      <c r="A11" s="2" t="inlineStr">
        <is>
          <t>Prior Year (Comparative)</t>
        </is>
      </c>
    </row>
    <row r="12" ht="35" customHeight="1">
      <c r="A12" s="5" t="inlineStr">
        <is>
          <t>Plan</t>
        </is>
      </c>
      <c r="B12" s="5" t="inlineStr">
        <is>
          <t>Plan Type</t>
        </is>
      </c>
      <c r="C12" s="5" t="inlineStr">
        <is>
          <t>Opening</t>
        </is>
      </c>
      <c r="D12" s="5" t="inlineStr">
        <is>
          <t>Granted</t>
        </is>
      </c>
      <c r="E12" s="5" t="inlineStr">
        <is>
          <t>Exercised</t>
        </is>
      </c>
      <c r="F12" s="5" t="inlineStr">
        <is>
          <t>Lapsed/Forfeited</t>
        </is>
      </c>
      <c r="G12" s="5" t="inlineStr">
        <is>
          <t>Vested</t>
        </is>
      </c>
      <c r="H12" s="5" t="inlineStr">
        <is>
          <t>Closing</t>
        </is>
      </c>
      <c r="I12" s="5" t="inlineStr">
        <is>
          <t>Net Δ</t>
        </is>
      </c>
      <c r="J12" s="5" t="inlineStr">
        <is>
          <t>Wtd Avg Exercise Price</t>
        </is>
      </c>
      <c r="K12" s="5" t="inlineStr">
        <is>
          <t>Fair Value/Option</t>
        </is>
      </c>
      <c r="L12" s="5" t="inlineStr">
        <is>
          <t>Wtd Avg Remaining Life (yrs)</t>
        </is>
      </c>
      <c r="M12" s="5" t="inlineStr">
        <is>
          <t>Math Check</t>
        </is>
      </c>
    </row>
    <row r="13">
      <c r="A13" s="20" t="inlineStr">
        <is>
          <t>2022 Omnibus Incentive Compensation Plan — Stock Options</t>
        </is>
      </c>
      <c r="B13" s="21" t="inlineStr">
        <is>
          <t>OTHER</t>
        </is>
      </c>
      <c r="C13" s="22" t="n"/>
      <c r="D13" s="22" t="n"/>
      <c r="E13" s="22" t="n"/>
      <c r="F13" s="22" t="n"/>
      <c r="G13" s="22" t="n"/>
      <c r="H13" s="23" t="n">
        <v>4591552</v>
      </c>
      <c r="I13" s="23">
        <f>IFERROR(H13-C13,"")</f>
        <v/>
      </c>
      <c r="J13" s="24" t="n">
        <v>34.42</v>
      </c>
      <c r="K13" s="24" t="n">
        <v>12.86</v>
      </c>
      <c r="L13" s="24" t="n">
        <v>5.06</v>
      </c>
      <c r="M13" s="25">
        <f>IF(OR(C13="",H13=""),"n/a",IF(ABS((C13+IFERROR(D13,0)-IFERROR(E13,0)-IFERROR(F13,0))-H13)&lt;=1,"✓ OK","✗ "&amp;TEXT((C13+IFERROR(D13,0)-IFERROR(E13,0)-IFERROR(F13,0))-H13,"#,##0")))</f>
        <v/>
      </c>
    </row>
    <row r="14">
      <c r="A14" s="20" t="inlineStr">
        <is>
          <t>2022 Omnibus Incentive Compensation Plan — Restricted Stock Units</t>
        </is>
      </c>
      <c r="B14" s="21" t="inlineStr">
        <is>
          <t>RSU</t>
        </is>
      </c>
      <c r="C14" s="22" t="n"/>
      <c r="D14" s="22" t="n"/>
      <c r="E14" s="22" t="n"/>
      <c r="F14" s="22" t="n"/>
      <c r="G14" s="22" t="n"/>
      <c r="H14" s="23" t="n">
        <v>1507715</v>
      </c>
      <c r="I14" s="23">
        <f>IFERROR(H14-C14,"")</f>
        <v/>
      </c>
      <c r="J14" s="22" t="n"/>
      <c r="K14" s="24" t="n">
        <v>41.42</v>
      </c>
      <c r="L14" s="24" t="n">
        <v>1.13</v>
      </c>
      <c r="M14" s="25">
        <f>IF(OR(C14="",H14=""),"n/a",IF(ABS((C14+IFERROR(D14,0)-IFERROR(E14,0)-IFERROR(F14,0))-H14)&lt;=1,"✓ OK","✗ "&amp;TEXT((C14+IFERROR(D14,0)-IFERROR(E14,0)-IFERROR(F14,0))-H14,"#,##0")))</f>
        <v/>
      </c>
    </row>
    <row r="15">
      <c r="A15" s="20" t="inlineStr">
        <is>
          <t>2022 Omnibus Incentive Compensation Plan — Performance Share Units</t>
        </is>
      </c>
      <c r="B15" s="21" t="inlineStr">
        <is>
          <t>PSU</t>
        </is>
      </c>
      <c r="C15" s="22" t="n"/>
      <c r="D15" s="22" t="n"/>
      <c r="E15" s="22" t="n"/>
      <c r="F15" s="22" t="n"/>
      <c r="G15" s="22" t="n"/>
      <c r="H15" s="23" t="n">
        <v>0</v>
      </c>
      <c r="I15" s="23">
        <f>IFERROR(H15-C15,"")</f>
        <v/>
      </c>
      <c r="J15" s="22" t="n"/>
      <c r="K15" s="22" t="n"/>
      <c r="L15" s="22" t="n"/>
      <c r="M15" s="25">
        <f>IF(OR(C15="",H15=""),"n/a",IF(ABS((C15+IFERROR(D15,0)-IFERROR(E15,0)-IFERROR(F15,0))-H15)&lt;=1,"✓ OK","✗ "&amp;TEXT((C15+IFERROR(D15,0)-IFERROR(E15,0)-IFERROR(F15,0))-H15,"#,##0")))</f>
        <v/>
      </c>
    </row>
    <row r="16">
      <c r="A16" s="13" t="inlineStr">
        <is>
          <t>TOTAL</t>
        </is>
      </c>
      <c r="B16" s="14" t="n"/>
      <c r="C16" s="19">
        <f>SUM(C13:C15)</f>
        <v/>
      </c>
      <c r="D16" s="19">
        <f>SUM(D13:D15)</f>
        <v/>
      </c>
      <c r="E16" s="19">
        <f>SUM(E13:E15)</f>
        <v/>
      </c>
      <c r="F16" s="19">
        <f>SUM(F13:F15)</f>
        <v/>
      </c>
      <c r="G16" s="19">
        <f>SUM(G13:G15)</f>
        <v/>
      </c>
      <c r="H16" s="19">
        <f>SUM(H13:H15)</f>
        <v/>
      </c>
      <c r="I16" s="19">
        <f>SUM(I13:I15)</f>
        <v/>
      </c>
      <c r="J16" s="14" t="n"/>
      <c r="K16" s="14" t="n"/>
      <c r="L16" s="14" t="n"/>
      <c r="M16" s="14" t="n"/>
    </row>
    <row r="19">
      <c r="A19" s="26" t="inlineStr">
        <is>
          <t>Notes:</t>
        </is>
      </c>
    </row>
    <row r="20">
      <c r="A20" s="27" t="inlineStr">
        <is>
          <t>• Math Check verifies: Opening + Granted - Exercised - Lapsed = Closing (±1 unit tolerance)</t>
        </is>
      </c>
    </row>
    <row r="21">
      <c r="A21" s="27" t="inlineStr">
        <is>
          <t>• Negative numbers shown in parentheses</t>
        </is>
      </c>
    </row>
    <row r="22">
      <c r="A22" s="27" t="inlineStr">
        <is>
          <t>• Empty cells indicate data was not disclosed in source</t>
        </is>
      </c>
    </row>
  </sheetData>
  <mergeCells count="7">
    <mergeCell ref="A19:M19"/>
    <mergeCell ref="A22:M22"/>
    <mergeCell ref="A3:M3"/>
    <mergeCell ref="A21:M21"/>
    <mergeCell ref="A20:M20"/>
    <mergeCell ref="A1:K1"/>
    <mergeCell ref="A11:M1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22" customWidth="1" min="1" max="1"/>
    <col width="20" customWidth="1" min="2" max="2"/>
    <col width="16" customWidth="1" min="3" max="3"/>
  </cols>
  <sheetData>
    <row r="1" ht="28" customHeight="1">
      <c r="A1" s="1" t="inlineStr">
        <is>
          <t>TRANCHE-LEVEL DETAIL — INDIVIDUAL GRANTS</t>
        </is>
      </c>
    </row>
    <row r="3">
      <c r="A3" s="2" t="inlineStr">
        <is>
          <t>All Outstanding Tranches by Plan and Grant Date</t>
        </is>
      </c>
    </row>
    <row r="4" ht="30" customHeight="1">
      <c r="A4" s="5" t="inlineStr">
        <is>
          <t>Plan</t>
        </is>
      </c>
      <c r="B4" s="5" t="inlineStr">
        <is>
          <t>Shares at Period End</t>
        </is>
      </c>
      <c r="C4" s="5" t="inlineStr">
        <is>
          <t>Exercise Price</t>
        </is>
      </c>
    </row>
    <row r="5">
      <c r="A5" s="13" t="inlineStr">
        <is>
          <t>2022 Omnibus Incentive Compensation Plan — Stock Options</t>
        </is>
      </c>
      <c r="B5" s="8" t="n">
        <v>1080000</v>
      </c>
      <c r="C5" s="10" t="n">
        <v>20</v>
      </c>
    </row>
    <row r="6">
      <c r="A6" s="13" t="inlineStr">
        <is>
          <t>2022 Omnibus Incentive Compensation Plan — Stock Options</t>
        </is>
      </c>
      <c r="B6" s="8" t="n">
        <v>517508</v>
      </c>
      <c r="C6" s="10" t="n">
        <v>26.79</v>
      </c>
    </row>
    <row r="7">
      <c r="A7" s="13" t="inlineStr">
        <is>
          <t>2022 Omnibus Incentive Compensation Plan — Stock Options</t>
        </is>
      </c>
      <c r="B7" s="8" t="n">
        <v>2155294</v>
      </c>
      <c r="C7" s="10" t="n">
        <v>42.77</v>
      </c>
    </row>
    <row r="8">
      <c r="A8" s="13" t="inlineStr">
        <is>
          <t>2022 Omnibus Incentive Compensation Plan — Stock Options</t>
        </is>
      </c>
      <c r="B8" s="8" t="n">
        <v>386670</v>
      </c>
      <c r="C8" s="10" t="n">
        <v>47.26</v>
      </c>
    </row>
    <row r="9">
      <c r="A9" s="13" t="inlineStr">
        <is>
          <t>2022 Omnibus Incentive Compensation Plan — Stock Options</t>
        </is>
      </c>
      <c r="B9" s="8" t="n">
        <v>521279</v>
      </c>
      <c r="C9" s="10" t="n">
        <v>77.41</v>
      </c>
    </row>
    <row r="10">
      <c r="A10" s="13" t="inlineStr">
        <is>
          <t>TOTAL</t>
        </is>
      </c>
      <c r="B10" s="15">
        <f>SUM(B5:B9)</f>
        <v/>
      </c>
      <c r="C10" s="14" t="n"/>
    </row>
    <row r="12">
      <c r="A12" s="2" t="inlineStr">
        <is>
          <t>Subtotals by Plan</t>
        </is>
      </c>
    </row>
    <row r="13">
      <c r="A13" s="5" t="inlineStr">
        <is>
          <t>Plan</t>
        </is>
      </c>
      <c r="B13" s="5" t="inlineStr">
        <is>
          <t># Tranches</t>
        </is>
      </c>
      <c r="C13" s="5" t="inlineStr">
        <is>
          <t>Total Shares</t>
        </is>
      </c>
    </row>
    <row r="14">
      <c r="A14" s="13" t="inlineStr">
        <is>
          <t>2022 Omnibus Incentive Compensation Plan — Stock Options</t>
        </is>
      </c>
      <c r="B14" s="12" t="n">
        <v>5</v>
      </c>
      <c r="C14" s="8">
        <f>SUM(B5:B9)</f>
        <v/>
      </c>
    </row>
  </sheetData>
  <mergeCells count="3">
    <mergeCell ref="A12:C12"/>
    <mergeCell ref="A3:G3"/>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8" customWidth="1" min="1" max="1"/>
    <col width="18" customWidth="1" min="2" max="2"/>
  </cols>
  <sheetData>
    <row r="1" ht="28" customHeight="1">
      <c r="A1" s="1" t="inlineStr">
        <is>
          <t>VALUATION MODEL INPUTS</t>
        </is>
      </c>
    </row>
    <row r="3">
      <c r="A3" s="2" t="inlineStr">
        <is>
          <t>Black-Scholes / Monte Carlo Parameters by Plan</t>
        </is>
      </c>
    </row>
    <row r="4" ht="25" customHeight="1">
      <c r="A4" s="5" t="inlineStr">
        <is>
          <t>Parameter</t>
        </is>
      </c>
      <c r="B4" s="5" t="inlineStr">
        <is>
          <t>2022 Omnibus Incentive Co</t>
        </is>
      </c>
    </row>
    <row r="5">
      <c r="A5" s="6" t="inlineStr">
        <is>
          <t>Valuation Model</t>
        </is>
      </c>
      <c r="B5" s="18" t="inlineStr">
        <is>
          <t>Black-Scholes-Merton</t>
        </is>
      </c>
    </row>
    <row r="6">
      <c r="A6" s="6" t="inlineStr">
        <is>
          <t>Expected Volatility (%)</t>
        </is>
      </c>
      <c r="B6" s="28" t="n">
        <v>0.36</v>
      </c>
    </row>
    <row r="7">
      <c r="A7" s="6" t="inlineStr">
        <is>
          <t>Risk-Free Rate (%)</t>
        </is>
      </c>
      <c r="B7" s="28" t="n">
        <v>0.0268</v>
      </c>
    </row>
    <row r="8">
      <c r="A8" s="6" t="inlineStr">
        <is>
          <t>Dividend Yield (%)</t>
        </is>
      </c>
      <c r="B8" s="28" t="n">
        <v>0</v>
      </c>
    </row>
    <row r="9">
      <c r="A9" s="6" t="inlineStr">
        <is>
          <t>Expected Life (years)</t>
        </is>
      </c>
      <c r="B9" s="29" t="n">
        <v>4.91</v>
      </c>
    </row>
    <row r="10">
      <c r="A10" s="6" t="inlineStr">
        <is>
          <t>Fair Value per Option</t>
        </is>
      </c>
      <c r="B10" s="10" t="n">
        <v>27.93</v>
      </c>
    </row>
  </sheetData>
  <mergeCells count="2">
    <mergeCell ref="A3:B3"/>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8" customWidth="1" min="1" max="1"/>
    <col width="32" customWidth="1" min="2" max="2"/>
    <col width="75" customWidth="1" min="3" max="3"/>
  </cols>
  <sheetData>
    <row r="1" ht="28" customHeight="1">
      <c r="A1" s="1" t="inlineStr">
        <is>
          <t>PLAN TYPES &amp; DESCRIPTIONS</t>
        </is>
      </c>
    </row>
    <row r="3" ht="25" customHeight="1">
      <c r="A3" s="5" t="inlineStr">
        <is>
          <t>Plan</t>
        </is>
      </c>
      <c r="B3" s="5" t="inlineStr">
        <is>
          <t>Plan Type</t>
        </is>
      </c>
      <c r="C3" s="5" t="inlineStr">
        <is>
          <t>Description / Key Features</t>
        </is>
      </c>
    </row>
    <row r="4" ht="33.125" customHeight="1">
      <c r="A4" s="30" t="inlineStr">
        <is>
          <t>2022 Omnibus Incentive Compensation Plan — Stock Options</t>
        </is>
      </c>
      <c r="B4" s="31" t="inlineStr">
        <is>
          <t>OTHER (Equity-settled)</t>
        </is>
      </c>
      <c r="C4" s="31" t="inlineStr">
        <is>
          <t>Stock options granted under the 2022 Omnibus Incentive Compensation Plan to directors, officers, employees and consultants. Settled with newly issued shares of common stock. 5.4 million shares authorized; 4.4 million available for issuance as of September 30, 2025.</t>
        </is>
      </c>
    </row>
    <row r="5" ht="39.75" customHeight="1">
      <c r="A5" s="30" t="inlineStr">
        <is>
          <t>2022 Omnibus Incentive Compensation Plan — Restricted Stock Units</t>
        </is>
      </c>
      <c r="B5" s="31" t="inlineStr">
        <is>
          <t>RSU (Nil-cost, Equity-settled)</t>
        </is>
      </c>
      <c r="C5" s="31" t="inlineStr">
        <is>
          <t>Restricted stock granted under the 2022 Omnibus Incentive Compensation Plan to directors, officers and employees. Settled with newly issued shares of common stock. Restricted stock grants are included in the Company's total issued and outstanding common shares. Vesting: Straight-line amortization over vesting period.</t>
        </is>
      </c>
    </row>
    <row r="6" ht="71.75" customHeight="1">
      <c r="A6" s="30" t="inlineStr">
        <is>
          <t>2022 Omnibus Incentive Compensation Plan — Performance Share Units</t>
        </is>
      </c>
      <c r="B6" s="31" t="inlineStr">
        <is>
          <t>PSU (Nil-cost, Equity-settled)</t>
        </is>
      </c>
      <c r="C6" s="31" t="inlineStr">
        <is>
          <t>Performance share units earned on the basis of pre-established performance goals approved by the Compensation Committee of the Board of Directors for a specified performance period. Subject to cliff vesting on the fourth anniversary of the grant date. Target amount is 225,000 shares; payout range is zero to 337,500 shares based on the outcome of the performance condition. Vesting: Cliff vesting on the fourth anniversary of the grant date. Performance conditions: Pre-established performance goals approved by the Compensation Committee. Maximum payout: 150% of baseline.</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8" customWidth="1" min="1" max="1"/>
    <col width="18" customWidth="1" min="2" max="2"/>
    <col width="18" customWidth="1" min="3" max="3"/>
    <col width="18" customWidth="1" min="4" max="4"/>
    <col width="14" customWidth="1" min="5" max="5"/>
    <col width="38" customWidth="1" min="6" max="6"/>
  </cols>
  <sheetData>
    <row r="1" ht="28" customHeight="1">
      <c r="A1" s="1" t="inlineStr">
        <is>
          <t>KEY PERFORMANCE INDICATORS &amp; RATIOS</t>
        </is>
      </c>
    </row>
    <row r="3">
      <c r="A3" s="2" t="inlineStr">
        <is>
          <t>Aggregate Activity Metrics</t>
        </is>
      </c>
    </row>
    <row r="4" ht="25" customHeight="1">
      <c r="A4" s="5" t="inlineStr">
        <is>
          <t>Metric</t>
        </is>
      </c>
      <c r="B4" s="5" t="inlineStr">
        <is>
          <t>Current Year</t>
        </is>
      </c>
      <c r="C4" s="5" t="inlineStr">
        <is>
          <t>Prior Year</t>
        </is>
      </c>
      <c r="D4" s="5" t="inlineStr">
        <is>
          <t>Δ Change</t>
        </is>
      </c>
      <c r="E4" s="5" t="inlineStr">
        <is>
          <t>% Change</t>
        </is>
      </c>
      <c r="F4" s="5" t="inlineStr">
        <is>
          <t>Notes</t>
        </is>
      </c>
    </row>
    <row r="5">
      <c r="A5" s="6" t="inlineStr">
        <is>
          <t>Total Opening Balance</t>
        </is>
      </c>
      <c r="B5" s="17" t="n">
        <v>6099267</v>
      </c>
      <c r="C5" s="17" t="n"/>
      <c r="D5" s="17">
        <f>IFERROR(B5-C5,"")</f>
        <v/>
      </c>
      <c r="E5" s="32">
        <f>IFERROR((B5-C5)/C5,"")</f>
        <v/>
      </c>
      <c r="F5" s="33" t="inlineStr">
        <is>
          <t>Across all plans</t>
        </is>
      </c>
    </row>
    <row r="6">
      <c r="A6" s="6" t="inlineStr">
        <is>
          <t>Total Granted</t>
        </is>
      </c>
      <c r="B6" s="17" t="n">
        <v>1507936</v>
      </c>
      <c r="C6" s="17" t="n"/>
      <c r="D6" s="17">
        <f>IFERROR(B6-C6,"")</f>
        <v/>
      </c>
      <c r="E6" s="32">
        <f>IFERROR((B6-C6)/C6,"")</f>
        <v/>
      </c>
      <c r="F6" s="33" t="inlineStr">
        <is>
          <t>New equity awards</t>
        </is>
      </c>
    </row>
    <row r="7">
      <c r="A7" s="6" t="inlineStr">
        <is>
          <t>Total Exercised</t>
        </is>
      </c>
      <c r="B7" s="17" t="n">
        <v>407084</v>
      </c>
      <c r="C7" s="17" t="n"/>
      <c r="D7" s="17">
        <f>IFERROR(B7-C7,"")</f>
        <v/>
      </c>
      <c r="E7" s="32">
        <f>IFERROR((B7-C7)/C7,"")</f>
        <v/>
      </c>
      <c r="F7" s="33" t="inlineStr">
        <is>
          <t>Awards converted to shares</t>
        </is>
      </c>
    </row>
    <row r="8">
      <c r="A8" s="6" t="inlineStr">
        <is>
          <t>Total Lapsed/Forfeited</t>
        </is>
      </c>
      <c r="B8" s="17" t="n">
        <v>58171</v>
      </c>
      <c r="C8" s="17" t="n"/>
      <c r="D8" s="17">
        <f>IFERROR(B8-C8,"")</f>
        <v/>
      </c>
      <c r="E8" s="32">
        <f>IFERROR((B8-C8)/C8,"")</f>
        <v/>
      </c>
      <c r="F8" s="33" t="inlineStr">
        <is>
          <t>Awards expired or forfeited</t>
        </is>
      </c>
    </row>
    <row r="9">
      <c r="A9" s="6" t="inlineStr">
        <is>
          <t>Total Closing Balance</t>
        </is>
      </c>
      <c r="B9" s="17" t="n">
        <v>6393550</v>
      </c>
      <c r="C9" s="17" t="n">
        <v>6099267</v>
      </c>
      <c r="D9" s="17">
        <f>IFERROR(B9-C9,"")</f>
        <v/>
      </c>
      <c r="E9" s="32">
        <f>IFERROR((B9-C9)/C9,"")</f>
        <v/>
      </c>
      <c r="F9" s="33" t="inlineStr">
        <is>
          <t>Outstanding at period end</t>
        </is>
      </c>
    </row>
    <row r="12">
      <c r="A12" s="2" t="inlineStr">
        <is>
          <t>Activity Rates (% of Opening Balance)</t>
        </is>
      </c>
    </row>
    <row r="13" ht="25" customHeight="1">
      <c r="A13" s="5" t="inlineStr">
        <is>
          <t>Metric</t>
        </is>
      </c>
      <c r="B13" s="5" t="inlineStr">
        <is>
          <t>Current Year</t>
        </is>
      </c>
      <c r="C13" s="5" t="inlineStr">
        <is>
          <t>Prior Year</t>
        </is>
      </c>
      <c r="D13" s="5" t="inlineStr">
        <is>
          <t>Δ Change</t>
        </is>
      </c>
      <c r="E13" s="5" t="inlineStr">
        <is>
          <t>% Change</t>
        </is>
      </c>
      <c r="F13" s="5" t="inlineStr">
        <is>
          <t>Notes</t>
        </is>
      </c>
    </row>
    <row r="14">
      <c r="A14" s="6" t="inlineStr">
        <is>
          <t>Grant Rate</t>
        </is>
      </c>
      <c r="B14" s="32">
        <f>IFERROR(B6/B5,"")</f>
        <v/>
      </c>
      <c r="C14" s="32">
        <f>IFERROR(C6/C5,"")</f>
        <v/>
      </c>
      <c r="D14" s="32">
        <f>IFERROR(B14-C14,"")</f>
        <v/>
      </c>
      <c r="E14" s="11" t="n"/>
      <c r="F14" s="33" t="inlineStr">
        <is>
          <t>New grants as % of opening</t>
        </is>
      </c>
    </row>
    <row r="15">
      <c r="A15" s="6" t="inlineStr">
        <is>
          <t>Exercise Rate</t>
        </is>
      </c>
      <c r="B15" s="32">
        <f>IFERROR(B7/B5,"")</f>
        <v/>
      </c>
      <c r="C15" s="32">
        <f>IFERROR(C7/C5,"")</f>
        <v/>
      </c>
      <c r="D15" s="32">
        <f>IFERROR(B15-C15,"")</f>
        <v/>
      </c>
      <c r="E15" s="11" t="n"/>
      <c r="F15" s="33" t="inlineStr">
        <is>
          <t>Conversion rate</t>
        </is>
      </c>
    </row>
    <row r="16">
      <c r="A16" s="6" t="inlineStr">
        <is>
          <t>Lapse Rate</t>
        </is>
      </c>
      <c r="B16" s="32">
        <f>IFERROR(B8/B5,"")</f>
        <v/>
      </c>
      <c r="C16" s="32">
        <f>IFERROR(C8/C5,"")</f>
        <v/>
      </c>
      <c r="D16" s="32">
        <f>IFERROR(B16-C16,"")</f>
        <v/>
      </c>
      <c r="E16" s="11" t="n"/>
      <c r="F16" s="33" t="inlineStr">
        <is>
          <t>Forfeit/expiry rate</t>
        </is>
      </c>
    </row>
    <row r="17">
      <c r="A17" s="6" t="inlineStr">
        <is>
          <t>Retention Rate</t>
        </is>
      </c>
      <c r="B17" s="32">
        <f>IFERROR(B9/B5,"")</f>
        <v/>
      </c>
      <c r="C17" s="32">
        <f>IFERROR(C9/C5,"")</f>
        <v/>
      </c>
      <c r="D17" s="32">
        <f>IFERROR(B17-C17,"")</f>
        <v/>
      </c>
      <c r="E17" s="11" t="n"/>
      <c r="F17" s="33" t="inlineStr">
        <is>
          <t>Awards remaining outstanding</t>
        </is>
      </c>
    </row>
    <row r="21">
      <c r="A21" s="2" t="inlineStr">
        <is>
          <t>Plan Composition (Current Year Closing)</t>
        </is>
      </c>
    </row>
    <row r="22" ht="25" customHeight="1">
      <c r="A22" s="5" t="inlineStr">
        <is>
          <t>Plan</t>
        </is>
      </c>
      <c r="B22" s="5" t="inlineStr">
        <is>
          <t>Closing Balance</t>
        </is>
      </c>
      <c r="C22" s="5" t="inlineStr">
        <is>
          <t>% of Total</t>
        </is>
      </c>
      <c r="D22" s="5" t="inlineStr">
        <is>
          <t>Plan Type</t>
        </is>
      </c>
      <c r="E22" s="5" t="inlineStr">
        <is>
          <t>Settlement</t>
        </is>
      </c>
    </row>
    <row r="23">
      <c r="A23" s="6" t="inlineStr">
        <is>
          <t>2022 Omnibus Incentive Compensation Plan — Stock Options</t>
        </is>
      </c>
      <c r="B23" s="8" t="n">
        <v>4660751</v>
      </c>
      <c r="C23" s="9">
        <f>B23/SUM($B$23:$B$25)</f>
        <v/>
      </c>
      <c r="D23" s="7" t="inlineStr">
        <is>
          <t>OTHER</t>
        </is>
      </c>
      <c r="E23" s="7" t="inlineStr">
        <is>
          <t>Equity-settled</t>
        </is>
      </c>
    </row>
    <row r="24">
      <c r="A24" s="6" t="inlineStr">
        <is>
          <t>2022 Omnibus Incentive Compensation Plan — Restricted Stock Units</t>
        </is>
      </c>
      <c r="B24" s="8" t="n">
        <v>1507799</v>
      </c>
      <c r="C24" s="9">
        <f>B24/SUM($B$23:$B$25)</f>
        <v/>
      </c>
      <c r="D24" s="7" t="inlineStr">
        <is>
          <t>RSU</t>
        </is>
      </c>
      <c r="E24" s="7" t="inlineStr">
        <is>
          <t>Equity-settled</t>
        </is>
      </c>
    </row>
    <row r="25">
      <c r="A25" s="6" t="inlineStr">
        <is>
          <t>2022 Omnibus Incentive Compensation Plan — Performance Share Units</t>
        </is>
      </c>
      <c r="B25" s="8" t="n">
        <v>225000</v>
      </c>
      <c r="C25" s="9">
        <f>B25/SUM($B$23:$B$25)</f>
        <v/>
      </c>
      <c r="D25" s="7" t="inlineStr">
        <is>
          <t>PSU</t>
        </is>
      </c>
      <c r="E25" s="7" t="inlineStr">
        <is>
          <t>Equity-settled</t>
        </is>
      </c>
    </row>
    <row r="26">
      <c r="A26" s="13" t="inlineStr">
        <is>
          <t>TOTAL</t>
        </is>
      </c>
      <c r="B26" s="15">
        <f>SUM(B23:B25)</f>
        <v/>
      </c>
      <c r="C26" s="16" t="inlineStr">
        <is>
          <t>100.0%</t>
        </is>
      </c>
      <c r="D26" s="14" t="n"/>
      <c r="E26" s="14" t="n"/>
    </row>
  </sheetData>
  <mergeCells count="4">
    <mergeCell ref="A3:F3"/>
    <mergeCell ref="A21:F21"/>
    <mergeCell ref="A1:F1"/>
    <mergeCell ref="A12:F1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32" customWidth="1" min="1" max="1"/>
    <col width="14" customWidth="1" min="2" max="2"/>
    <col width="14" customWidth="1" min="3" max="3"/>
    <col width="14" customWidth="1" min="4" max="4"/>
    <col width="14" customWidth="1" min="5" max="5"/>
    <col width="14" customWidth="1" min="6" max="6"/>
  </cols>
  <sheetData>
    <row r="1" ht="28" customHeight="1">
      <c r="A1" s="1" t="inlineStr">
        <is>
          <t>DATA QUALITY &amp; EXTRACTION METADATA</t>
        </is>
      </c>
    </row>
    <row r="3">
      <c r="A3" s="2" t="inlineStr">
        <is>
          <t>Field Completeness by Plan</t>
        </is>
      </c>
    </row>
    <row r="4" ht="25" customHeight="1">
      <c r="A4" s="5" t="inlineStr">
        <is>
          <t>Field Category</t>
        </is>
      </c>
      <c r="B4" s="5" t="inlineStr">
        <is>
          <t>2022 Omnibus Incen</t>
        </is>
      </c>
      <c r="C4" s="5" t="inlineStr">
        <is>
          <t>2022 Omnibus Incen</t>
        </is>
      </c>
      <c r="D4" s="5" t="inlineStr">
        <is>
          <t>2022 Omnibus Incen</t>
        </is>
      </c>
    </row>
    <row r="5">
      <c r="A5" s="6" t="inlineStr">
        <is>
          <t>Plan Identity (Name, Type)</t>
        </is>
      </c>
      <c r="B5" s="34" t="inlineStr">
        <is>
          <t>✓</t>
        </is>
      </c>
      <c r="C5" s="34" t="inlineStr">
        <is>
          <t>✓</t>
        </is>
      </c>
      <c r="D5" s="34" t="inlineStr">
        <is>
          <t>✓</t>
        </is>
      </c>
    </row>
    <row r="6">
      <c r="A6" s="6" t="inlineStr">
        <is>
          <t>Roll-forward (Opening → Closing)</t>
        </is>
      </c>
      <c r="B6" s="34" t="inlineStr">
        <is>
          <t>✓</t>
        </is>
      </c>
      <c r="C6" s="34" t="inlineStr">
        <is>
          <t>✓</t>
        </is>
      </c>
      <c r="D6" s="34" t="inlineStr">
        <is>
          <t>✓</t>
        </is>
      </c>
    </row>
    <row r="7">
      <c r="A7" s="6" t="inlineStr">
        <is>
          <t>Weighted Avg Exercise Price</t>
        </is>
      </c>
      <c r="B7" s="34" t="inlineStr">
        <is>
          <t>✓</t>
        </is>
      </c>
      <c r="C7" s="35" t="inlineStr">
        <is>
          <t>✗</t>
        </is>
      </c>
      <c r="D7" s="35" t="inlineStr">
        <is>
          <t>✗</t>
        </is>
      </c>
    </row>
    <row r="8">
      <c r="A8" s="6" t="inlineStr">
        <is>
          <t>Exercise Price Range</t>
        </is>
      </c>
      <c r="B8" s="34" t="inlineStr">
        <is>
          <t>✓</t>
        </is>
      </c>
      <c r="C8" s="35" t="inlineStr">
        <is>
          <t>✗</t>
        </is>
      </c>
      <c r="D8" s="35" t="inlineStr">
        <is>
          <t>✗</t>
        </is>
      </c>
    </row>
    <row r="9">
      <c r="A9" s="6" t="inlineStr">
        <is>
          <t>Wtd Avg Contractual Life</t>
        </is>
      </c>
      <c r="B9" s="34" t="inlineStr">
        <is>
          <t>✓</t>
        </is>
      </c>
      <c r="C9" s="34" t="inlineStr">
        <is>
          <t>✓</t>
        </is>
      </c>
      <c r="D9" s="34" t="inlineStr">
        <is>
          <t>✓</t>
        </is>
      </c>
    </row>
    <row r="10">
      <c r="A10" s="6" t="inlineStr">
        <is>
          <t>Vesting Period</t>
        </is>
      </c>
      <c r="B10" s="35" t="inlineStr">
        <is>
          <t>✗</t>
        </is>
      </c>
      <c r="C10" s="35" t="inlineStr">
        <is>
          <t>✗</t>
        </is>
      </c>
      <c r="D10" s="34" t="inlineStr">
        <is>
          <t>✓</t>
        </is>
      </c>
    </row>
    <row r="11">
      <c r="A11" s="6" t="inlineStr">
        <is>
          <t>Valuation Model</t>
        </is>
      </c>
      <c r="B11" s="34" t="inlineStr">
        <is>
          <t>✓</t>
        </is>
      </c>
      <c r="C11" s="35" t="inlineStr">
        <is>
          <t>✗</t>
        </is>
      </c>
      <c r="D11" s="35" t="inlineStr">
        <is>
          <t>✗</t>
        </is>
      </c>
    </row>
    <row r="12">
      <c r="A12" s="6" t="inlineStr">
        <is>
          <t>Volatility / Risk-Free Rate</t>
        </is>
      </c>
      <c r="B12" s="34" t="inlineStr">
        <is>
          <t>✓</t>
        </is>
      </c>
      <c r="C12" s="35" t="inlineStr">
        <is>
          <t>✗</t>
        </is>
      </c>
      <c r="D12" s="35" t="inlineStr">
        <is>
          <t>✗</t>
        </is>
      </c>
    </row>
    <row r="13">
      <c r="A13" s="6" t="inlineStr">
        <is>
          <t>Dividend Yield</t>
        </is>
      </c>
      <c r="B13" s="34" t="inlineStr">
        <is>
          <t>✓</t>
        </is>
      </c>
      <c r="C13" s="35" t="inlineStr">
        <is>
          <t>✗</t>
        </is>
      </c>
      <c r="D13" s="35" t="inlineStr">
        <is>
          <t>✗</t>
        </is>
      </c>
    </row>
    <row r="14">
      <c r="A14" s="6" t="inlineStr">
        <is>
          <t>Fair Value per Option</t>
        </is>
      </c>
      <c r="B14" s="34" t="inlineStr">
        <is>
          <t>✓</t>
        </is>
      </c>
      <c r="C14" s="35" t="inlineStr">
        <is>
          <t>✗</t>
        </is>
      </c>
      <c r="D14" s="35" t="inlineStr">
        <is>
          <t>✗</t>
        </is>
      </c>
    </row>
    <row r="15">
      <c r="A15" s="6" t="inlineStr">
        <is>
          <t>Tranche-Level Detail</t>
        </is>
      </c>
      <c r="B15" s="34" t="inlineStr">
        <is>
          <t>✓</t>
        </is>
      </c>
      <c r="C15" s="35" t="inlineStr">
        <is>
          <t>✗</t>
        </is>
      </c>
      <c r="D15" s="35" t="inlineStr">
        <is>
          <t>✗</t>
        </is>
      </c>
    </row>
    <row r="16">
      <c r="A16" s="6" t="inlineStr">
        <is>
          <t>Prior Year Comparatives</t>
        </is>
      </c>
      <c r="B16" s="34" t="inlineStr">
        <is>
          <t>✓</t>
        </is>
      </c>
      <c r="C16" s="34" t="inlineStr">
        <is>
          <t>✓</t>
        </is>
      </c>
      <c r="D16" s="34" t="inlineStr">
        <is>
          <t>✓</t>
        </is>
      </c>
    </row>
    <row r="17">
      <c r="A17" s="6" t="inlineStr">
        <is>
          <t>Performance Conditions</t>
        </is>
      </c>
      <c r="B17" s="35" t="inlineStr">
        <is>
          <t>✗</t>
        </is>
      </c>
      <c r="C17" s="35" t="inlineStr">
        <is>
          <t>✗</t>
        </is>
      </c>
      <c r="D17" s="34" t="inlineStr">
        <is>
          <t>✓</t>
        </is>
      </c>
    </row>
    <row r="20">
      <c r="A20" s="2" t="inlineStr">
        <is>
          <t>Validation Summary</t>
        </is>
      </c>
    </row>
    <row r="21">
      <c r="A21" s="5" t="inlineStr">
        <is>
          <t>Validation Item</t>
        </is>
      </c>
      <c r="B21" s="5" t="inlineStr">
        <is>
          <t>Value</t>
        </is>
      </c>
      <c r="C21" s="5" t="inlineStr">
        <is>
          <t>Notes</t>
        </is>
      </c>
    </row>
    <row r="22">
      <c r="A22" s="6" t="inlineStr">
        <is>
          <t>Total Plans Detected</t>
        </is>
      </c>
      <c r="B22" s="36" t="n">
        <v>3</v>
      </c>
      <c r="C22" s="33" t="inlineStr">
        <is>
          <t>All plans on source pages captured</t>
        </is>
      </c>
    </row>
    <row r="23">
      <c r="A23" s="6" t="inlineStr">
        <is>
          <t>Plans with Complete Roll-forward</t>
        </is>
      </c>
      <c r="B23" s="36" t="n">
        <v>3</v>
      </c>
      <c r="C23" s="33" t="inlineStr">
        <is>
          <t>Both opening and closing balance</t>
        </is>
      </c>
    </row>
    <row r="24">
      <c r="A24" s="6" t="inlineStr">
        <is>
          <t>Plans with Valuation Inputs</t>
        </is>
      </c>
      <c r="B24" s="36" t="n">
        <v>1</v>
      </c>
      <c r="C24" s="33" t="inlineStr">
        <is>
          <t>Black-Scholes or similar</t>
        </is>
      </c>
    </row>
    <row r="25">
      <c r="A25" s="6" t="inlineStr">
        <is>
          <t>Plans with Tranches</t>
        </is>
      </c>
      <c r="B25" s="36" t="n">
        <v>1</v>
      </c>
      <c r="C25" s="33" t="inlineStr">
        <is>
          <t>Per-grant detail extracted</t>
        </is>
      </c>
    </row>
    <row r="26">
      <c r="A26" s="6" t="inlineStr">
        <is>
          <t>Plans with Prior Year Data</t>
        </is>
      </c>
      <c r="B26" s="36" t="n">
        <v>3</v>
      </c>
      <c r="C26" s="33" t="inlineStr">
        <is>
          <t>Comparative columns extracted</t>
        </is>
      </c>
    </row>
    <row r="27">
      <c r="A27" s="6" t="inlineStr">
        <is>
          <t>Plans with Exercise Price</t>
        </is>
      </c>
      <c r="B27" s="36" t="n">
        <v>1</v>
      </c>
      <c r="C27" s="33" t="inlineStr">
        <is>
          <t>Non-nil cost plans</t>
        </is>
      </c>
    </row>
    <row r="28">
      <c r="A28" s="6" t="inlineStr">
        <is>
          <t>Nil-cost Plans</t>
        </is>
      </c>
      <c r="B28" s="36" t="n">
        <v>2</v>
      </c>
      <c r="C28" s="33" t="inlineStr">
        <is>
          <t>RSU/PSP style awards</t>
        </is>
      </c>
    </row>
    <row r="31">
      <c r="A31" s="2" t="inlineStr">
        <is>
          <t>Extraction Metadata</t>
        </is>
      </c>
    </row>
    <row r="32">
      <c r="A32" s="3" t="inlineStr">
        <is>
          <t>Source PDF</t>
        </is>
      </c>
      <c r="B32" s="4" t="inlineStr">
        <is>
          <t>SNEX036_Full Annual Report_2025.pdf</t>
        </is>
      </c>
    </row>
    <row r="33">
      <c r="A33" s="3" t="inlineStr">
        <is>
          <t>Total PDF Pages</t>
        </is>
      </c>
      <c r="B33" s="4" t="n">
        <v>188</v>
      </c>
    </row>
    <row r="34">
      <c r="A34" s="3" t="inlineStr">
        <is>
          <t>Pages Processed</t>
        </is>
      </c>
      <c r="B34" s="4" t="inlineStr">
        <is>
          <t>150, 151</t>
        </is>
      </c>
    </row>
  </sheetData>
  <mergeCells count="14">
    <mergeCell ref="C22:F22"/>
    <mergeCell ref="C23:F23"/>
    <mergeCell ref="B32:F32"/>
    <mergeCell ref="B34:F34"/>
    <mergeCell ref="B33:F33"/>
    <mergeCell ref="A1:F1"/>
    <mergeCell ref="A3:D3"/>
    <mergeCell ref="C26:F26"/>
    <mergeCell ref="C27:F27"/>
    <mergeCell ref="A31:F31"/>
    <mergeCell ref="C25:F25"/>
    <mergeCell ref="A20:F20"/>
    <mergeCell ref="C24:F24"/>
    <mergeCell ref="C28:F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2026-06-16T01:06:59Z</dcterms:created>
  <dcterms:modified xmlns:dcterms="http://purl.org/dc/terms/" xmlns:xsi="http://www.w3.org/2001/XMLSchema-instance" xsi:type="dcterms:W3CDTF">2026-06-16T01:06:59Z</dcterms:modified>
</cp:coreProperties>
</file>