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Plan Roll-Forward" sheetId="2" state="visible" r:id="rId2"/>
    <sheet xmlns:r="http://schemas.openxmlformats.org/officeDocument/2006/relationships" name="3. Tranche Details" sheetId="3" state="visible" r:id="rId3"/>
    <sheet xmlns:r="http://schemas.openxmlformats.org/officeDocument/2006/relationships" name="4. Valuation Inputs" sheetId="4" state="visible" r:id="rId4"/>
    <sheet xmlns:r="http://schemas.openxmlformats.org/officeDocument/2006/relationships" name="5. Plan Descriptions" sheetId="5" state="visible" r:id="rId5"/>
    <sheet xmlns:r="http://schemas.openxmlformats.org/officeDocument/2006/relationships" name="6. KPIs &amp; Ratios" sheetId="6" state="visible" r:id="rId6"/>
    <sheet xmlns:r="http://schemas.openxmlformats.org/officeDocument/2006/relationships" name="7. 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i val="1"/>
      <sz val="9"/>
    </font>
    <font>
      <name val="Arial"/>
      <i val="1"/>
      <color rgb="00595959"/>
      <sz val="9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PT GOTO GOJEK TOKOPEDIA TBK — SHARE-BASED COMPENSATION ANALYSIS</t>
        </is>
      </c>
    </row>
    <row r="3">
      <c r="A3" s="2" t="inlineStr">
        <is>
          <t>Report Information</t>
        </is>
      </c>
    </row>
    <row r="4">
      <c r="A4" s="3" t="inlineStr">
        <is>
          <t>Company</t>
        </is>
      </c>
      <c r="B4" s="4" t="inlineStr">
        <is>
          <t>PT Goto Gojek Tokopedia Tbk</t>
        </is>
      </c>
    </row>
    <row r="5">
      <c r="A5" s="3" t="inlineStr">
        <is>
          <t>Report Period</t>
        </is>
      </c>
      <c r="B5" s="4" t="inlineStr">
        <is>
          <t>Year ended 31 December 2025</t>
        </is>
      </c>
    </row>
    <row r="6">
      <c r="A6" s="3" t="inlineStr">
        <is>
          <t>Currency</t>
        </is>
      </c>
      <c r="B6" s="4" t="inlineStr">
        <is>
          <t>IDR (IDR)</t>
        </is>
      </c>
    </row>
    <row r="7">
      <c r="A7" s="3" t="inlineStr">
        <is>
          <t>Reporting Standard</t>
        </is>
      </c>
      <c r="B7" s="4" t="inlineStr">
        <is>
          <t>IFRS</t>
        </is>
      </c>
    </row>
    <row r="8">
      <c r="A8" s="3" t="inlineStr">
        <is>
          <t>Total Plans Disclosed</t>
        </is>
      </c>
      <c r="B8" s="4" t="n">
        <v>1</v>
      </c>
    </row>
    <row r="9">
      <c r="A9" s="3" t="inlineStr">
        <is>
          <t>Plans with Roll-forward Data</t>
        </is>
      </c>
      <c r="B9" s="4" t="n">
        <v>1</v>
      </c>
    </row>
    <row r="10">
      <c r="A10" s="3" t="inlineStr">
        <is>
          <t>Generated</t>
        </is>
      </c>
      <c r="B10" s="4" t="inlineStr">
        <is>
          <t>2026-06-03 22:02</t>
        </is>
      </c>
    </row>
    <row r="11">
      <c r="A11" s="3" t="inlineStr">
        <is>
          <t>Source PDF</t>
        </is>
      </c>
      <c r="B11" s="4" t="inlineStr">
        <is>
          <t>GOTO_ID_annual.pdf</t>
        </is>
      </c>
    </row>
    <row r="12">
      <c r="A12" s="3" t="inlineStr">
        <is>
          <t>Extraction Cost</t>
        </is>
      </c>
      <c r="B12" s="4" t="inlineStr">
        <is>
          <t>$0.1725</t>
        </is>
      </c>
    </row>
    <row r="14">
      <c r="A14" s="2" t="inlineStr">
        <is>
          <t>Plan Summary at a Glance</t>
        </is>
      </c>
    </row>
    <row r="15" ht="30" customHeight="1">
      <c r="A15" s="5" t="inlineStr">
        <is>
          <t>Plan</t>
        </is>
      </c>
      <c r="B15" s="5" t="inlineStr">
        <is>
          <t>Type</t>
        </is>
      </c>
      <c r="C15" s="5" t="inlineStr">
        <is>
          <t>Closing Balance</t>
        </is>
      </c>
      <c r="D15" s="5" t="inlineStr">
        <is>
          <t>% of Total</t>
        </is>
      </c>
    </row>
    <row r="16">
      <c r="A16" s="6" t="inlineStr">
        <is>
          <t>Share-based compensation reserve</t>
        </is>
      </c>
      <c r="B16" s="7" t="inlineStr">
        <is>
          <t>OTHER</t>
        </is>
      </c>
      <c r="C16" s="8" t="n">
        <v>3606.158</v>
      </c>
      <c r="D16" s="9">
        <f>C16/SUM($C$16:$C$16)</f>
        <v/>
      </c>
    </row>
    <row r="17">
      <c r="A17" s="10" t="inlineStr">
        <is>
          <t>TOTAL</t>
        </is>
      </c>
      <c r="B17" s="11" t="n"/>
      <c r="C17" s="12">
        <f>SUM(C16:C16)</f>
        <v/>
      </c>
      <c r="D17" s="13" t="inlineStr">
        <is>
          <t>100.0%</t>
        </is>
      </c>
    </row>
    <row r="20">
      <c r="A20" s="2" t="inlineStr">
        <is>
          <t>Key Insights</t>
        </is>
      </c>
    </row>
    <row r="21">
      <c r="A21" s="3" t="inlineStr">
        <is>
          <t>• Total awards outstanding:</t>
        </is>
      </c>
      <c r="C21" s="4" t="inlineStr">
        <is>
          <t>3,606 shares across 1 plan(s)</t>
        </is>
      </c>
    </row>
  </sheetData>
  <mergeCells count="15">
    <mergeCell ref="A14:G14"/>
    <mergeCell ref="A21:B21"/>
    <mergeCell ref="B10:G10"/>
    <mergeCell ref="A1:G1"/>
    <mergeCell ref="C21:G21"/>
    <mergeCell ref="B5:G5"/>
    <mergeCell ref="A3:G3"/>
    <mergeCell ref="B9:G9"/>
    <mergeCell ref="B8:G8"/>
    <mergeCell ref="A20:G20"/>
    <mergeCell ref="B4:G4"/>
    <mergeCell ref="B12:G12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1" t="inlineStr">
        <is>
          <t>PLAN ROLL-FORWARD — Year ended 31 December 2025</t>
        </is>
      </c>
    </row>
    <row r="3">
      <c r="A3" s="2" t="inlineStr">
        <is>
          <t>Current Year Movement</t>
        </is>
      </c>
    </row>
    <row r="4" ht="35" customHeight="1">
      <c r="A4" s="5" t="inlineStr">
        <is>
          <t>Plan</t>
        </is>
      </c>
      <c r="B4" s="5" t="inlineStr">
        <is>
          <t>Plan Type</t>
        </is>
      </c>
      <c r="C4" s="5" t="inlineStr">
        <is>
          <t>Opening</t>
        </is>
      </c>
      <c r="D4" s="5" t="inlineStr">
        <is>
          <t>Granted</t>
        </is>
      </c>
      <c r="E4" s="5" t="inlineStr">
        <is>
          <t>Exercised</t>
        </is>
      </c>
      <c r="F4" s="5" t="inlineStr">
        <is>
          <t>Lapsed/Forfeited</t>
        </is>
      </c>
      <c r="G4" s="5" t="inlineStr">
        <is>
          <t>Closing</t>
        </is>
      </c>
      <c r="H4" s="5" t="inlineStr">
        <is>
          <t>Net Δ</t>
        </is>
      </c>
      <c r="I4" s="5" t="inlineStr">
        <is>
          <t>Math Check</t>
        </is>
      </c>
    </row>
    <row r="5">
      <c r="A5" s="6" t="inlineStr">
        <is>
          <t>Share-based compensation reserve</t>
        </is>
      </c>
      <c r="B5" s="7" t="inlineStr">
        <is>
          <t>OTHER</t>
        </is>
      </c>
      <c r="C5" s="14" t="n">
        <v>5637.276</v>
      </c>
      <c r="D5" s="14" t="n">
        <v>794.865</v>
      </c>
      <c r="E5" s="14" t="n">
        <v>2534.984</v>
      </c>
      <c r="F5" s="14" t="n">
        <v>290.999</v>
      </c>
      <c r="G5" s="14" t="n">
        <v>3606.158</v>
      </c>
      <c r="H5" s="14">
        <f>IFERROR(G5-C5,"")</f>
        <v/>
      </c>
      <c r="I5" s="15">
        <f>IF(OR(C5="",G5=""),"n/a",IF(ABS((C5+IFERROR(D5,0)-IFERROR(E5,0)-IFERROR(F5,0))-G5)&lt;=1,"✓ OK","✗ "&amp;TEXT((C5+IFERROR(D5,0)-IFERROR(E5,0)-IFERROR(F5,0))-G5,"#,##0")))</f>
        <v/>
      </c>
    </row>
    <row r="6">
      <c r="A6" s="10" t="inlineStr">
        <is>
          <t>TOTAL</t>
        </is>
      </c>
      <c r="B6" s="11" t="n"/>
      <c r="C6" s="16">
        <f>SUM(C5:C5)</f>
        <v/>
      </c>
      <c r="D6" s="16">
        <f>SUM(D5:D5)</f>
        <v/>
      </c>
      <c r="E6" s="16">
        <f>SUM(E5:E5)</f>
        <v/>
      </c>
      <c r="F6" s="16">
        <f>SUM(F5:F5)</f>
        <v/>
      </c>
      <c r="G6" s="16">
        <f>SUM(G5:G5)</f>
        <v/>
      </c>
      <c r="H6" s="16">
        <f>SUM(H5:H5)</f>
        <v/>
      </c>
      <c r="I6" s="11" t="n"/>
    </row>
    <row r="9">
      <c r="A9" s="2" t="inlineStr">
        <is>
          <t>Prior Year (Comparative)</t>
        </is>
      </c>
    </row>
    <row r="10" ht="35" customHeight="1">
      <c r="A10" s="5" t="inlineStr">
        <is>
          <t>Plan</t>
        </is>
      </c>
      <c r="B10" s="5" t="inlineStr">
        <is>
          <t>Plan Type</t>
        </is>
      </c>
      <c r="C10" s="5" t="inlineStr">
        <is>
          <t>Opening</t>
        </is>
      </c>
      <c r="D10" s="5" t="inlineStr">
        <is>
          <t>Granted</t>
        </is>
      </c>
      <c r="E10" s="5" t="inlineStr">
        <is>
          <t>Exercised</t>
        </is>
      </c>
      <c r="F10" s="5" t="inlineStr">
        <is>
          <t>Lapsed/Forfeited</t>
        </is>
      </c>
      <c r="G10" s="5" t="inlineStr">
        <is>
          <t>Closing</t>
        </is>
      </c>
      <c r="H10" s="5" t="inlineStr">
        <is>
          <t>Net Δ</t>
        </is>
      </c>
      <c r="I10" s="5" t="inlineStr">
        <is>
          <t>Math Check</t>
        </is>
      </c>
    </row>
    <row r="11">
      <c r="A11" s="17" t="inlineStr">
        <is>
          <t>Share-based compensation reserve</t>
        </is>
      </c>
      <c r="B11" s="18" t="inlineStr">
        <is>
          <t>OTHER</t>
        </is>
      </c>
      <c r="C11" s="19" t="n">
        <v>11233.019</v>
      </c>
      <c r="D11" s="19" t="n">
        <v>1405.912</v>
      </c>
      <c r="E11" s="19" t="n">
        <v>7001.655</v>
      </c>
      <c r="F11" s="20" t="n"/>
      <c r="G11" s="19" t="n">
        <v>5637.276</v>
      </c>
      <c r="H11" s="19">
        <f>IFERROR(G11-C11,"")</f>
        <v/>
      </c>
      <c r="I11" s="21">
        <f>IF(OR(C11="",G11=""),"n/a",IF(ABS((C11+IFERROR(D11,0)-IFERROR(E11,0)-IFERROR(F11,0))-G11)&lt;=1,"✓ OK","✗ "&amp;TEXT((C11+IFERROR(D11,0)-IFERROR(E11,0)-IFERROR(F11,0))-G11,"#,##0")))</f>
        <v/>
      </c>
    </row>
    <row r="12">
      <c r="A12" s="10" t="inlineStr">
        <is>
          <t>TOTAL</t>
        </is>
      </c>
      <c r="B12" s="11" t="n"/>
      <c r="C12" s="16">
        <f>SUM(C11:C11)</f>
        <v/>
      </c>
      <c r="D12" s="16">
        <f>SUM(D11:D11)</f>
        <v/>
      </c>
      <c r="E12" s="16">
        <f>SUM(E11:E11)</f>
        <v/>
      </c>
      <c r="F12" s="16">
        <f>SUM(F11:F11)</f>
        <v/>
      </c>
      <c r="G12" s="16">
        <f>SUM(G11:G11)</f>
        <v/>
      </c>
      <c r="H12" s="16">
        <f>SUM(H11:H11)</f>
        <v/>
      </c>
      <c r="I12" s="11" t="n"/>
    </row>
    <row r="15">
      <c r="A15" s="22" t="inlineStr">
        <is>
          <t>Notes:</t>
        </is>
      </c>
    </row>
    <row r="16">
      <c r="A16" s="23" t="inlineStr">
        <is>
          <t>• Math Check verifies: Opening + Granted - Exercised - Lapsed = Closing (±1 unit tolerance)</t>
        </is>
      </c>
    </row>
    <row r="17">
      <c r="A17" s="23" t="inlineStr">
        <is>
          <t>• Negative numbers shown in parentheses</t>
        </is>
      </c>
    </row>
    <row r="18">
      <c r="A18" s="23" t="inlineStr">
        <is>
          <t>• Empty cells indicate data was not disclosed in source</t>
        </is>
      </c>
    </row>
  </sheetData>
  <mergeCells count="7">
    <mergeCell ref="A15:I15"/>
    <mergeCell ref="A17:I17"/>
    <mergeCell ref="A9:I9"/>
    <mergeCell ref="A18:I18"/>
    <mergeCell ref="A3:I3"/>
    <mergeCell ref="A1:K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6" customWidth="1" min="5" max="5"/>
    <col width="18" customWidth="1" min="6" max="6"/>
    <col width="24" customWidth="1" min="7" max="7"/>
  </cols>
  <sheetData>
    <row r="1" ht="28" customHeight="1">
      <c r="A1" s="1" t="inlineStr">
        <is>
          <t>TRANCHE-LEVEL DETAIL — INDIVIDUAL GRANTS</t>
        </is>
      </c>
    </row>
    <row r="3">
      <c r="A3" s="23" t="inlineStr">
        <is>
          <t>No tranche-level data disclosed in source.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VALUATION MODEL INPUTS</t>
        </is>
      </c>
    </row>
    <row r="3">
      <c r="A3" s="23" t="inlineStr">
        <is>
          <t>No valuation model inputs disclosed in source.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5" customWidth="1" min="3" max="3"/>
  </cols>
  <sheetData>
    <row r="1" ht="28" customHeight="1">
      <c r="A1" s="1" t="inlineStr">
        <is>
          <t>PLAN TYPES &amp; DESCRIPTIONS</t>
        </is>
      </c>
    </row>
    <row r="3" ht="25" customHeight="1">
      <c r="A3" s="5" t="inlineStr">
        <is>
          <t>Plan</t>
        </is>
      </c>
      <c r="B3" s="5" t="inlineStr">
        <is>
          <t>Plan Type</t>
        </is>
      </c>
      <c r="C3" s="5" t="inlineStr">
        <is>
          <t>Description / Key Features</t>
        </is>
      </c>
    </row>
    <row r="4" ht="30" customHeight="1">
      <c r="A4" s="24" t="inlineStr">
        <is>
          <t>Share-based compensation reserve</t>
        </is>
      </c>
      <c r="B4" s="25" t="inlineStr">
        <is>
          <t>OTHER (Equity-settled)</t>
        </is>
      </c>
      <c r="C4" s="25" t="inlineStr">
        <is>
          <t>Share-based compensation reserve (Cadangan kompensasi berbasis saham)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38" customWidth="1" min="6" max="6"/>
  </cols>
  <sheetData>
    <row r="1" ht="28" customHeight="1">
      <c r="A1" s="1" t="inlineStr">
        <is>
          <t>KEY PERFORMANCE INDICATORS &amp; RATIOS</t>
        </is>
      </c>
    </row>
    <row r="3">
      <c r="A3" s="2" t="inlineStr">
        <is>
          <t>Aggregate Activity Metrics</t>
        </is>
      </c>
    </row>
    <row r="4" ht="25" customHeight="1">
      <c r="A4" s="5" t="inlineStr">
        <is>
          <t>Metric</t>
        </is>
      </c>
      <c r="B4" s="5" t="inlineStr">
        <is>
          <t>Current Year</t>
        </is>
      </c>
      <c r="C4" s="5" t="inlineStr">
        <is>
          <t>Prior Year</t>
        </is>
      </c>
      <c r="D4" s="5" t="inlineStr">
        <is>
          <t>Δ Change</t>
        </is>
      </c>
      <c r="E4" s="5" t="inlineStr">
        <is>
          <t>% Change</t>
        </is>
      </c>
      <c r="F4" s="5" t="inlineStr">
        <is>
          <t>Notes</t>
        </is>
      </c>
    </row>
    <row r="5">
      <c r="A5" s="6" t="inlineStr">
        <is>
          <t>Total Opening Balance</t>
        </is>
      </c>
      <c r="B5" s="14" t="n">
        <v>5637.276</v>
      </c>
      <c r="C5" s="14" t="n">
        <v>11233.019</v>
      </c>
      <c r="D5" s="14">
        <f>IFERROR(B5-C5,"")</f>
        <v/>
      </c>
      <c r="E5" s="26">
        <f>IFERROR((B5-C5)/C5,"")</f>
        <v/>
      </c>
      <c r="F5" s="27" t="inlineStr">
        <is>
          <t>Across all plans</t>
        </is>
      </c>
    </row>
    <row r="6">
      <c r="A6" s="6" t="inlineStr">
        <is>
          <t>Total Granted</t>
        </is>
      </c>
      <c r="B6" s="14" t="n">
        <v>794.865</v>
      </c>
      <c r="C6" s="14" t="n">
        <v>1405.912</v>
      </c>
      <c r="D6" s="14">
        <f>IFERROR(B6-C6,"")</f>
        <v/>
      </c>
      <c r="E6" s="26">
        <f>IFERROR((B6-C6)/C6,"")</f>
        <v/>
      </c>
      <c r="F6" s="27" t="inlineStr">
        <is>
          <t>New equity awards</t>
        </is>
      </c>
    </row>
    <row r="7">
      <c r="A7" s="6" t="inlineStr">
        <is>
          <t>Total Exercised</t>
        </is>
      </c>
      <c r="B7" s="14" t="n">
        <v>2534.984</v>
      </c>
      <c r="C7" s="14" t="n">
        <v>7001.655</v>
      </c>
      <c r="D7" s="14">
        <f>IFERROR(B7-C7,"")</f>
        <v/>
      </c>
      <c r="E7" s="26">
        <f>IFERROR((B7-C7)/C7,"")</f>
        <v/>
      </c>
      <c r="F7" s="27" t="inlineStr">
        <is>
          <t>Awards converted to shares</t>
        </is>
      </c>
    </row>
    <row r="8">
      <c r="A8" s="6" t="inlineStr">
        <is>
          <t>Total Lapsed/Forfeited</t>
        </is>
      </c>
      <c r="B8" s="14" t="n">
        <v>290.999</v>
      </c>
      <c r="C8" s="14" t="n"/>
      <c r="D8" s="14">
        <f>IFERROR(B8-C8,"")</f>
        <v/>
      </c>
      <c r="E8" s="26">
        <f>IFERROR((B8-C8)/C8,"")</f>
        <v/>
      </c>
      <c r="F8" s="27" t="inlineStr">
        <is>
          <t>Awards expired or forfeited</t>
        </is>
      </c>
    </row>
    <row r="9">
      <c r="A9" s="6" t="inlineStr">
        <is>
          <t>Total Closing Balance</t>
        </is>
      </c>
      <c r="B9" s="14" t="n">
        <v>3606.158</v>
      </c>
      <c r="C9" s="14" t="n">
        <v>5637.276</v>
      </c>
      <c r="D9" s="14">
        <f>IFERROR(B9-C9,"")</f>
        <v/>
      </c>
      <c r="E9" s="26">
        <f>IFERROR((B9-C9)/C9,"")</f>
        <v/>
      </c>
      <c r="F9" s="27" t="inlineStr">
        <is>
          <t>Outstanding at period end</t>
        </is>
      </c>
    </row>
    <row r="12">
      <c r="A12" s="2" t="inlineStr">
        <is>
          <t>Activity Rates (% of Opening Balance)</t>
        </is>
      </c>
    </row>
    <row r="13" ht="25" customHeight="1">
      <c r="A13" s="5" t="inlineStr">
        <is>
          <t>Metric</t>
        </is>
      </c>
      <c r="B13" s="5" t="inlineStr">
        <is>
          <t>Current Year</t>
        </is>
      </c>
      <c r="C13" s="5" t="inlineStr">
        <is>
          <t>Prior Year</t>
        </is>
      </c>
      <c r="D13" s="5" t="inlineStr">
        <is>
          <t>Δ Change</t>
        </is>
      </c>
      <c r="E13" s="5" t="inlineStr">
        <is>
          <t>% Change</t>
        </is>
      </c>
      <c r="F13" s="5" t="inlineStr">
        <is>
          <t>Notes</t>
        </is>
      </c>
    </row>
    <row r="14">
      <c r="A14" s="6" t="inlineStr">
        <is>
          <t>Grant Rate</t>
        </is>
      </c>
      <c r="B14" s="26">
        <f>IFERROR(B6/B5,"")</f>
        <v/>
      </c>
      <c r="C14" s="26">
        <f>IFERROR(C6/C5,"")</f>
        <v/>
      </c>
      <c r="D14" s="26">
        <f>IFERROR(B14-C14,"")</f>
        <v/>
      </c>
      <c r="E14" s="28" t="n"/>
      <c r="F14" s="27" t="inlineStr">
        <is>
          <t>New grants as % of opening</t>
        </is>
      </c>
    </row>
    <row r="15">
      <c r="A15" s="6" t="inlineStr">
        <is>
          <t>Exercise Rate</t>
        </is>
      </c>
      <c r="B15" s="26">
        <f>IFERROR(B7/B5,"")</f>
        <v/>
      </c>
      <c r="C15" s="26">
        <f>IFERROR(C7/C5,"")</f>
        <v/>
      </c>
      <c r="D15" s="26">
        <f>IFERROR(B15-C15,"")</f>
        <v/>
      </c>
      <c r="E15" s="28" t="n"/>
      <c r="F15" s="27" t="inlineStr">
        <is>
          <t>Conversion rate</t>
        </is>
      </c>
    </row>
    <row r="16">
      <c r="A16" s="6" t="inlineStr">
        <is>
          <t>Lapse Rate</t>
        </is>
      </c>
      <c r="B16" s="26">
        <f>IFERROR(B8/B5,"")</f>
        <v/>
      </c>
      <c r="C16" s="26">
        <f>IFERROR(C8/C5,"")</f>
        <v/>
      </c>
      <c r="D16" s="26">
        <f>IFERROR(B16-C16,"")</f>
        <v/>
      </c>
      <c r="E16" s="28" t="n"/>
      <c r="F16" s="27" t="inlineStr">
        <is>
          <t>Forfeit/expiry rate</t>
        </is>
      </c>
    </row>
    <row r="17">
      <c r="A17" s="6" t="inlineStr">
        <is>
          <t>Retention Rate</t>
        </is>
      </c>
      <c r="B17" s="26">
        <f>IFERROR(B9/B5,"")</f>
        <v/>
      </c>
      <c r="C17" s="26">
        <f>IFERROR(C9/C5,"")</f>
        <v/>
      </c>
      <c r="D17" s="26">
        <f>IFERROR(B17-C17,"")</f>
        <v/>
      </c>
      <c r="E17" s="28" t="n"/>
      <c r="F17" s="27" t="inlineStr">
        <is>
          <t>Awards remaining outstanding</t>
        </is>
      </c>
    </row>
    <row r="21">
      <c r="A21" s="2" t="inlineStr">
        <is>
          <t>Plan Composition (Current Year Closing)</t>
        </is>
      </c>
    </row>
    <row r="22" ht="25" customHeight="1">
      <c r="A22" s="5" t="inlineStr">
        <is>
          <t>Plan</t>
        </is>
      </c>
      <c r="B22" s="5" t="inlineStr">
        <is>
          <t>Closing Balance</t>
        </is>
      </c>
      <c r="C22" s="5" t="inlineStr">
        <is>
          <t>% of Total</t>
        </is>
      </c>
      <c r="D22" s="5" t="inlineStr">
        <is>
          <t>Plan Type</t>
        </is>
      </c>
      <c r="E22" s="5" t="inlineStr">
        <is>
          <t>Settlement</t>
        </is>
      </c>
    </row>
    <row r="23">
      <c r="A23" s="6" t="inlineStr">
        <is>
          <t>Share-based compensation reserve</t>
        </is>
      </c>
      <c r="B23" s="8" t="n">
        <v>3606.158</v>
      </c>
      <c r="C23" s="9">
        <f>B23/SUM($B$23:$B$23)</f>
        <v/>
      </c>
      <c r="D23" s="7" t="inlineStr">
        <is>
          <t>OTHER</t>
        </is>
      </c>
      <c r="E23" s="7" t="inlineStr">
        <is>
          <t>Equity-settled</t>
        </is>
      </c>
    </row>
    <row r="24">
      <c r="A24" s="10" t="inlineStr">
        <is>
          <t>TOTAL</t>
        </is>
      </c>
      <c r="B24" s="12">
        <f>SUM(B23:B23)</f>
        <v/>
      </c>
      <c r="C24" s="13" t="inlineStr">
        <is>
          <t>100.0%</t>
        </is>
      </c>
      <c r="D24" s="11" t="n"/>
      <c r="E24" s="11" t="n"/>
    </row>
  </sheetData>
  <mergeCells count="4">
    <mergeCell ref="A3:F3"/>
    <mergeCell ref="A21:F21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DATA QUALITY &amp; EXTRACTION METADATA</t>
        </is>
      </c>
    </row>
    <row r="3">
      <c r="A3" s="2" t="inlineStr">
        <is>
          <t>Field Completeness by Plan</t>
        </is>
      </c>
    </row>
    <row r="4" ht="25" customHeight="1">
      <c r="A4" s="5" t="inlineStr">
        <is>
          <t>Field Category</t>
        </is>
      </c>
      <c r="B4" s="5" t="inlineStr">
        <is>
          <t>Share-based compen</t>
        </is>
      </c>
    </row>
    <row r="5">
      <c r="A5" s="6" t="inlineStr">
        <is>
          <t>Plan Identity (Name, Type)</t>
        </is>
      </c>
      <c r="B5" s="29" t="inlineStr">
        <is>
          <t>✓</t>
        </is>
      </c>
    </row>
    <row r="6">
      <c r="A6" s="6" t="inlineStr">
        <is>
          <t>Roll-forward (Opening → Closing)</t>
        </is>
      </c>
      <c r="B6" s="29" t="inlineStr">
        <is>
          <t>✓</t>
        </is>
      </c>
    </row>
    <row r="7">
      <c r="A7" s="6" t="inlineStr">
        <is>
          <t>Prior Year Comparatives</t>
        </is>
      </c>
      <c r="B7" s="29" t="inlineStr">
        <is>
          <t>✓</t>
        </is>
      </c>
    </row>
    <row r="10">
      <c r="A10" s="2" t="inlineStr">
        <is>
          <t>Validation Summary</t>
        </is>
      </c>
    </row>
    <row r="11">
      <c r="A11" s="5" t="inlineStr">
        <is>
          <t>Validation Item</t>
        </is>
      </c>
      <c r="B11" s="5" t="inlineStr">
        <is>
          <t>Value</t>
        </is>
      </c>
      <c r="C11" s="5" t="inlineStr">
        <is>
          <t>Notes</t>
        </is>
      </c>
    </row>
    <row r="12">
      <c r="A12" s="6" t="inlineStr">
        <is>
          <t>Total Plans Detected</t>
        </is>
      </c>
      <c r="B12" s="30" t="n">
        <v>1</v>
      </c>
      <c r="C12" s="27" t="inlineStr">
        <is>
          <t>All plans on source pages captured</t>
        </is>
      </c>
    </row>
    <row r="13">
      <c r="A13" s="6" t="inlineStr">
        <is>
          <t>Plans with Complete Roll-forward</t>
        </is>
      </c>
      <c r="B13" s="30" t="n">
        <v>1</v>
      </c>
      <c r="C13" s="27" t="inlineStr">
        <is>
          <t>Both opening and closing balance</t>
        </is>
      </c>
    </row>
    <row r="14">
      <c r="A14" s="6" t="inlineStr">
        <is>
          <t>Plans with Prior Year Data</t>
        </is>
      </c>
      <c r="B14" s="30" t="n">
        <v>1</v>
      </c>
      <c r="C14" s="27" t="inlineStr">
        <is>
          <t>Comparative columns extracted</t>
        </is>
      </c>
    </row>
    <row r="17">
      <c r="A17" s="2" t="inlineStr">
        <is>
          <t>Extraction Metadata</t>
        </is>
      </c>
    </row>
    <row r="18">
      <c r="A18" s="3" t="inlineStr">
        <is>
          <t>Source PDF</t>
        </is>
      </c>
      <c r="B18" s="4" t="inlineStr">
        <is>
          <t>GOTO_ID_annual.pdf</t>
        </is>
      </c>
    </row>
    <row r="19">
      <c r="A19" s="3" t="inlineStr">
        <is>
          <t>Total PDF Pages</t>
        </is>
      </c>
      <c r="B19" s="4" t="n">
        <v>161</v>
      </c>
    </row>
    <row r="20">
      <c r="A20" s="3" t="inlineStr">
        <is>
          <t>Pages Processed</t>
        </is>
      </c>
      <c r="B20" s="4" t="inlineStr">
        <is>
          <t>19, 20, 80, 124, 125, 126, 141</t>
        </is>
      </c>
    </row>
  </sheetData>
  <mergeCells count="10">
    <mergeCell ref="C13:F13"/>
    <mergeCell ref="A10:F10"/>
    <mergeCell ref="B20:F20"/>
    <mergeCell ref="A1:F1"/>
    <mergeCell ref="C12:F12"/>
    <mergeCell ref="B19:F19"/>
    <mergeCell ref="A17:F17"/>
    <mergeCell ref="A3:B3"/>
    <mergeCell ref="B18:F18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2026-06-03T16:32:55Z</dcterms:created>
  <dcterms:modified xmlns:dcterms="http://purl.org/dc/terms/" xmlns:xsi="http://www.w3.org/2001/XMLSchema-instance" xsi:type="dcterms:W3CDTF">2026-06-03T16:32:55Z</dcterms:modified>
</cp:coreProperties>
</file>