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Plan Roll-Forward" sheetId="2" state="visible" r:id="rId2"/>
    <sheet xmlns:r="http://schemas.openxmlformats.org/officeDocument/2006/relationships" name="3. Tranche Details" sheetId="3" state="visible" r:id="rId3"/>
    <sheet xmlns:r="http://schemas.openxmlformats.org/officeDocument/2006/relationships" name="4. Valuation Inputs" sheetId="4" state="visible" r:id="rId4"/>
    <sheet xmlns:r="http://schemas.openxmlformats.org/officeDocument/2006/relationships" name="5. Plan Descriptions" sheetId="5" state="visible" r:id="rId5"/>
    <sheet xmlns:r="http://schemas.openxmlformats.org/officeDocument/2006/relationships" name="6. KPIs &amp; Ratios" sheetId="6" state="visible" r:id="rId6"/>
    <sheet xmlns:r="http://schemas.openxmlformats.org/officeDocument/2006/relationships" name="7. 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0.0%;(0.0%);-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i val="1"/>
      <sz val="9"/>
    </font>
    <font>
      <name val="Arial"/>
      <i val="1"/>
      <color rgb="00595959"/>
      <sz val="9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AEEF3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5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166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 ht="30" customHeight="1">
      <c r="A1" s="1" t="inlineStr">
        <is>
          <t>TENCENT HOLDINGS LIMITED — SHARE-BASED COMPENSATION ANALYSIS</t>
        </is>
      </c>
    </row>
    <row r="3">
      <c r="A3" s="2" t="inlineStr">
        <is>
          <t>Report Information</t>
        </is>
      </c>
    </row>
    <row r="4">
      <c r="A4" s="3" t="inlineStr">
        <is>
          <t>Company</t>
        </is>
      </c>
      <c r="B4" s="4" t="inlineStr">
        <is>
          <t>Tencent Holdings Limited</t>
        </is>
      </c>
    </row>
    <row r="5">
      <c r="A5" s="3" t="inlineStr">
        <is>
          <t>Report Period</t>
        </is>
      </c>
      <c r="B5" s="4" t="inlineStr">
        <is>
          <t>Year ended 31 December 2025</t>
        </is>
      </c>
    </row>
    <row r="6">
      <c r="A6" s="3" t="inlineStr">
        <is>
          <t>Currency</t>
        </is>
      </c>
      <c r="B6" s="4" t="inlineStr">
        <is>
          <t>HKD (HK$)</t>
        </is>
      </c>
    </row>
    <row r="7">
      <c r="A7" s="3" t="inlineStr">
        <is>
          <t>Reporting Standard</t>
        </is>
      </c>
      <c r="B7" s="4" t="inlineStr">
        <is>
          <t>IFRS</t>
        </is>
      </c>
    </row>
    <row r="8">
      <c r="A8" s="3" t="inlineStr">
        <is>
          <t>Total Plans Disclosed</t>
        </is>
      </c>
      <c r="B8" s="4" t="n">
        <v>3</v>
      </c>
    </row>
    <row r="9">
      <c r="A9" s="3" t="inlineStr">
        <is>
          <t>Plans with Roll-forward Data</t>
        </is>
      </c>
      <c r="B9" s="4" t="n">
        <v>3</v>
      </c>
    </row>
    <row r="10">
      <c r="A10" s="3" t="inlineStr">
        <is>
          <t>Generated</t>
        </is>
      </c>
      <c r="B10" s="4" t="inlineStr">
        <is>
          <t>2026-06-03 21:45</t>
        </is>
      </c>
    </row>
    <row r="11">
      <c r="A11" s="3" t="inlineStr">
        <is>
          <t>Source PDF</t>
        </is>
      </c>
      <c r="B11" s="4" t="inlineStr">
        <is>
          <t>700_HK_annual.pdf</t>
        </is>
      </c>
    </row>
    <row r="12">
      <c r="A12" s="3" t="inlineStr">
        <is>
          <t>Extraction Cost</t>
        </is>
      </c>
      <c r="B12" s="4" t="inlineStr">
        <is>
          <t>$0.4549</t>
        </is>
      </c>
    </row>
    <row r="14">
      <c r="A14" s="2" t="inlineStr">
        <is>
          <t>Plan Summary at a Glance</t>
        </is>
      </c>
    </row>
    <row r="15" ht="30" customHeight="1">
      <c r="A15" s="5" t="inlineStr">
        <is>
          <t>Plan</t>
        </is>
      </c>
      <c r="B15" s="5" t="inlineStr">
        <is>
          <t>Type</t>
        </is>
      </c>
      <c r="C15" s="5" t="inlineStr">
        <is>
          <t>Closing Balance</t>
        </is>
      </c>
      <c r="D15" s="5" t="inlineStr">
        <is>
          <t>% of Total</t>
        </is>
      </c>
      <c r="E15" s="5" t="inlineStr">
        <is>
          <t>Avg Exercise Price</t>
        </is>
      </c>
      <c r="F15" s="5" t="inlineStr">
        <is>
          <t>Fair Value/Option</t>
        </is>
      </c>
    </row>
    <row r="16">
      <c r="A16" s="6" t="inlineStr">
        <is>
          <t>2023 Share Option Scheme</t>
        </is>
      </c>
      <c r="B16" s="7" t="inlineStr">
        <is>
          <t>ESOP</t>
        </is>
      </c>
      <c r="C16" s="8" t="n">
        <v>77706770</v>
      </c>
      <c r="D16" s="9">
        <f>C16/SUM($C$16:$C$18)</f>
        <v/>
      </c>
      <c r="E16" s="10" t="n"/>
      <c r="F16" s="10" t="n"/>
    </row>
    <row r="17">
      <c r="A17" s="6" t="inlineStr">
        <is>
          <t>2023 Share Award Scheme</t>
        </is>
      </c>
      <c r="B17" s="7" t="inlineStr">
        <is>
          <t>RSU</t>
        </is>
      </c>
      <c r="C17" s="8" t="n">
        <v>118038714</v>
      </c>
      <c r="D17" s="9">
        <f>C17/SUM($C$16:$C$18)</f>
        <v/>
      </c>
      <c r="E17" s="10" t="n"/>
      <c r="F17" s="10" t="n"/>
    </row>
    <row r="18">
      <c r="A18" s="6" t="inlineStr">
        <is>
          <t>2023 Share Option Scheme</t>
        </is>
      </c>
      <c r="B18" s="7" t="inlineStr">
        <is>
          <t>OTHER</t>
        </is>
      </c>
      <c r="C18" s="8" t="n">
        <v>77706770</v>
      </c>
      <c r="D18" s="9">
        <f>C18/SUM($C$16:$C$18)</f>
        <v/>
      </c>
      <c r="E18" s="11" t="n">
        <v>367.56</v>
      </c>
      <c r="F18" s="11" t="n">
        <v>176.35</v>
      </c>
    </row>
    <row r="19">
      <c r="A19" s="12" t="inlineStr">
        <is>
          <t>TOTAL</t>
        </is>
      </c>
      <c r="B19" s="13" t="n"/>
      <c r="C19" s="14">
        <f>SUM(C16:C18)</f>
        <v/>
      </c>
      <c r="D19" s="15" t="inlineStr">
        <is>
          <t>100.0%</t>
        </is>
      </c>
      <c r="E19" s="13" t="n"/>
      <c r="F19" s="13" t="n"/>
    </row>
    <row r="22">
      <c r="A22" s="2" t="inlineStr">
        <is>
          <t>Key Insights</t>
        </is>
      </c>
    </row>
    <row r="23">
      <c r="A23" s="3" t="inlineStr">
        <is>
          <t>• Total awards outstanding:</t>
        </is>
      </c>
      <c r="C23" s="4" t="inlineStr">
        <is>
          <t>273,452,254 shares across 3 plan(s)</t>
        </is>
      </c>
    </row>
    <row r="24">
      <c r="A24" s="3" t="inlineStr">
        <is>
          <t>• Largest plan:</t>
        </is>
      </c>
      <c r="C24" s="4" t="inlineStr">
        <is>
          <t>2023 Share Award Scheme — 43.2% of total</t>
        </is>
      </c>
    </row>
    <row r="25">
      <c r="A25" s="3" t="inlineStr">
        <is>
          <t>• Nil-cost plans:</t>
        </is>
      </c>
      <c r="C25" s="4" t="inlineStr">
        <is>
          <t>1 of 3</t>
        </is>
      </c>
    </row>
    <row r="26">
      <c r="A26" s="3" t="inlineStr">
        <is>
          <t>• Valuation model(s):</t>
        </is>
      </c>
      <c r="C26" s="4" t="inlineStr">
        <is>
          <t>Binomial</t>
        </is>
      </c>
    </row>
  </sheetData>
  <mergeCells count="21">
    <mergeCell ref="A14:G14"/>
    <mergeCell ref="A24:B24"/>
    <mergeCell ref="C24:G24"/>
    <mergeCell ref="A22:G22"/>
    <mergeCell ref="B8:G8"/>
    <mergeCell ref="C26:G26"/>
    <mergeCell ref="B10:G10"/>
    <mergeCell ref="A25:B25"/>
    <mergeCell ref="B9:G9"/>
    <mergeCell ref="C25:G25"/>
    <mergeCell ref="B6:G6"/>
    <mergeCell ref="A26:B26"/>
    <mergeCell ref="A1:G1"/>
    <mergeCell ref="B5:G5"/>
    <mergeCell ref="B4:G4"/>
    <mergeCell ref="C23:G23"/>
    <mergeCell ref="A23:B23"/>
    <mergeCell ref="B7:G7"/>
    <mergeCell ref="A3:G3"/>
    <mergeCell ref="B12:G12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PLAN ROLL-FORWARD — Year ended 31 December 2025</t>
        </is>
      </c>
    </row>
    <row r="3">
      <c r="A3" s="2" t="inlineStr">
        <is>
          <t>Current Year Movement</t>
        </is>
      </c>
    </row>
    <row r="4" ht="35" customHeight="1">
      <c r="A4" s="5" t="inlineStr">
        <is>
          <t>Plan</t>
        </is>
      </c>
      <c r="B4" s="5" t="inlineStr">
        <is>
          <t>Plan Type</t>
        </is>
      </c>
      <c r="C4" s="5" t="inlineStr">
        <is>
          <t>Opening</t>
        </is>
      </c>
      <c r="D4" s="5" t="inlineStr">
        <is>
          <t>Granted</t>
        </is>
      </c>
      <c r="E4" s="5" t="inlineStr">
        <is>
          <t>Exercised</t>
        </is>
      </c>
      <c r="F4" s="5" t="inlineStr">
        <is>
          <t>Lapsed/Forfeited</t>
        </is>
      </c>
      <c r="G4" s="5" t="inlineStr">
        <is>
          <t>Vested</t>
        </is>
      </c>
      <c r="H4" s="5" t="inlineStr">
        <is>
          <t>Closing</t>
        </is>
      </c>
      <c r="I4" s="5" t="inlineStr">
        <is>
          <t>Net Δ</t>
        </is>
      </c>
      <c r="J4" s="5" t="inlineStr">
        <is>
          <t>Wtd Avg Exercise Price</t>
        </is>
      </c>
      <c r="K4" s="5" t="inlineStr">
        <is>
          <t>Fair Value/Option</t>
        </is>
      </c>
      <c r="L4" s="5" t="inlineStr">
        <is>
          <t>Math Check</t>
        </is>
      </c>
    </row>
    <row r="5">
      <c r="A5" s="6" t="inlineStr">
        <is>
          <t>2023 Share Option Scheme</t>
        </is>
      </c>
      <c r="B5" s="7" t="inlineStr">
        <is>
          <t>ESOP</t>
        </is>
      </c>
      <c r="C5" s="16" t="n">
        <v>109221125</v>
      </c>
      <c r="D5" s="16" t="n">
        <v>7281034</v>
      </c>
      <c r="E5" s="16" t="n">
        <v>38389585</v>
      </c>
      <c r="F5" s="16" t="n">
        <v>405804</v>
      </c>
      <c r="G5" s="10" t="n"/>
      <c r="H5" s="16" t="n">
        <v>77706770</v>
      </c>
      <c r="I5" s="16">
        <f>IFERROR(H5-C5,"")</f>
        <v/>
      </c>
      <c r="J5" s="10" t="n"/>
      <c r="K5" s="10" t="n"/>
      <c r="L5" s="17">
        <f>IF(OR(C5="",H5=""),"n/a",IF(ABS((C5+IFERROR(D5,0)-IFERROR(E5,0)-IFERROR(F5,0))-H5)&lt;=1,"✓ OK","✗ "&amp;TEXT((C5+IFERROR(D5,0)-IFERROR(E5,0)-IFERROR(F5,0))-H5,"#,##0")))</f>
        <v/>
      </c>
    </row>
    <row r="6">
      <c r="A6" s="6" t="inlineStr">
        <is>
          <t>2023 Share Award Scheme</t>
        </is>
      </c>
      <c r="B6" s="7" t="inlineStr">
        <is>
          <t>RSU</t>
        </is>
      </c>
      <c r="C6" s="16" t="n">
        <v>125329046</v>
      </c>
      <c r="D6" s="16" t="n">
        <v>43862442</v>
      </c>
      <c r="E6" s="10" t="n"/>
      <c r="F6" s="16" t="n">
        <v>4852339</v>
      </c>
      <c r="G6" s="16" t="n">
        <v>46300435</v>
      </c>
      <c r="H6" s="16" t="n">
        <v>118038714</v>
      </c>
      <c r="I6" s="16">
        <f>IFERROR(H6-C6,"")</f>
        <v/>
      </c>
      <c r="J6" s="10" t="n"/>
      <c r="K6" s="10" t="n"/>
      <c r="L6" s="17">
        <f>IF(OR(C6="",H6=""),"n/a",IF(ABS((C6+IFERROR(D6,0)-IFERROR(E6,0)-IFERROR(F6,0))-H6)&lt;=1,"✓ OK","✗ "&amp;TEXT((C6+IFERROR(D6,0)-IFERROR(E6,0)-IFERROR(F6,0))-H6,"#,##0")))</f>
        <v/>
      </c>
    </row>
    <row r="7">
      <c r="A7" s="6" t="inlineStr">
        <is>
          <t>2023 Share Option Scheme</t>
        </is>
      </c>
      <c r="B7" s="7" t="inlineStr">
        <is>
          <t>OTHER</t>
        </is>
      </c>
      <c r="C7" s="16" t="n">
        <v>109221125</v>
      </c>
      <c r="D7" s="16" t="n">
        <v>7281034</v>
      </c>
      <c r="E7" s="16" t="n">
        <v>38389585</v>
      </c>
      <c r="F7" s="16" t="n">
        <v>405804</v>
      </c>
      <c r="G7" s="10" t="n"/>
      <c r="H7" s="16" t="n">
        <v>77706770</v>
      </c>
      <c r="I7" s="16">
        <f>IFERROR(H7-C7,"")</f>
        <v/>
      </c>
      <c r="J7" s="11" t="n">
        <v>367.56</v>
      </c>
      <c r="K7" s="11" t="n">
        <v>176.35</v>
      </c>
      <c r="L7" s="17">
        <f>IF(OR(C7="",H7=""),"n/a",IF(ABS((C7+IFERROR(D7,0)-IFERROR(E7,0)-IFERROR(F7,0))-H7)&lt;=1,"✓ OK","✗ "&amp;TEXT((C7+IFERROR(D7,0)-IFERROR(E7,0)-IFERROR(F7,0))-H7,"#,##0")))</f>
        <v/>
      </c>
    </row>
    <row r="8">
      <c r="A8" s="12" t="inlineStr">
        <is>
          <t>TOTAL</t>
        </is>
      </c>
      <c r="B8" s="13" t="n"/>
      <c r="C8" s="18">
        <f>SUM(C5:C7)</f>
        <v/>
      </c>
      <c r="D8" s="18">
        <f>SUM(D5:D7)</f>
        <v/>
      </c>
      <c r="E8" s="18">
        <f>SUM(E5:E7)</f>
        <v/>
      </c>
      <c r="F8" s="18">
        <f>SUM(F5:F7)</f>
        <v/>
      </c>
      <c r="G8" s="18">
        <f>SUM(G5:G7)</f>
        <v/>
      </c>
      <c r="H8" s="18">
        <f>SUM(H5:H7)</f>
        <v/>
      </c>
      <c r="I8" s="18">
        <f>SUM(I5:I7)</f>
        <v/>
      </c>
      <c r="J8" s="13" t="n"/>
      <c r="K8" s="13" t="n"/>
      <c r="L8" s="13" t="n"/>
    </row>
    <row r="11">
      <c r="A11" s="2" t="inlineStr">
        <is>
          <t>Prior Year (Comparative)</t>
        </is>
      </c>
    </row>
    <row r="12" ht="35" customHeight="1">
      <c r="A12" s="5" t="inlineStr">
        <is>
          <t>Plan</t>
        </is>
      </c>
      <c r="B12" s="5" t="inlineStr">
        <is>
          <t>Plan Type</t>
        </is>
      </c>
      <c r="C12" s="5" t="inlineStr">
        <is>
          <t>Opening</t>
        </is>
      </c>
      <c r="D12" s="5" t="inlineStr">
        <is>
          <t>Granted</t>
        </is>
      </c>
      <c r="E12" s="5" t="inlineStr">
        <is>
          <t>Exercised</t>
        </is>
      </c>
      <c r="F12" s="5" t="inlineStr">
        <is>
          <t>Lapsed/Forfeited</t>
        </is>
      </c>
      <c r="G12" s="5" t="inlineStr">
        <is>
          <t>Vested</t>
        </is>
      </c>
      <c r="H12" s="5" t="inlineStr">
        <is>
          <t>Closing</t>
        </is>
      </c>
      <c r="I12" s="5" t="inlineStr">
        <is>
          <t>Net Δ</t>
        </is>
      </c>
      <c r="J12" s="5" t="inlineStr">
        <is>
          <t>Wtd Avg Exercise Price</t>
        </is>
      </c>
      <c r="K12" s="5" t="inlineStr">
        <is>
          <t>Fair Value/Option</t>
        </is>
      </c>
      <c r="L12" s="5" t="inlineStr">
        <is>
          <t>Math Check</t>
        </is>
      </c>
    </row>
    <row r="13">
      <c r="A13" s="19" t="inlineStr">
        <is>
          <t>2023 Share Award Scheme</t>
        </is>
      </c>
      <c r="B13" s="20" t="inlineStr">
        <is>
          <t>RSU</t>
        </is>
      </c>
      <c r="C13" s="21" t="n">
        <v>132989249</v>
      </c>
      <c r="D13" s="21" t="n">
        <v>62829798</v>
      </c>
      <c r="E13" s="22" t="n"/>
      <c r="F13" s="21" t="n">
        <v>6549432</v>
      </c>
      <c r="G13" s="21" t="n">
        <v>63940569</v>
      </c>
      <c r="H13" s="21" t="n">
        <v>125329046</v>
      </c>
      <c r="I13" s="21">
        <f>IFERROR(H13-C13,"")</f>
        <v/>
      </c>
      <c r="J13" s="22" t="n"/>
      <c r="K13" s="22" t="n"/>
      <c r="L13" s="23">
        <f>IF(OR(C13="",H13=""),"n/a",IF(ABS((C13+IFERROR(D13,0)-IFERROR(E13,0)-IFERROR(F13,0))-H13)&lt;=1,"✓ OK","✗ "&amp;TEXT((C13+IFERROR(D13,0)-IFERROR(E13,0)-IFERROR(F13,0))-H13,"#,##0")))</f>
        <v/>
      </c>
    </row>
    <row r="14">
      <c r="A14" s="19" t="inlineStr">
        <is>
          <t>2023 Share Option Scheme</t>
        </is>
      </c>
      <c r="B14" s="20" t="inlineStr">
        <is>
          <t>OTHER</t>
        </is>
      </c>
      <c r="C14" s="21" t="n">
        <v>105292749</v>
      </c>
      <c r="D14" s="21" t="n">
        <v>11632870</v>
      </c>
      <c r="E14" s="21" t="n">
        <v>5684728</v>
      </c>
      <c r="F14" s="21" t="n">
        <v>2019766</v>
      </c>
      <c r="G14" s="22" t="n"/>
      <c r="H14" s="21" t="n">
        <v>109221125</v>
      </c>
      <c r="I14" s="21">
        <f>IFERROR(H14-C14,"")</f>
        <v/>
      </c>
      <c r="J14" s="24" t="n">
        <v>349.18</v>
      </c>
      <c r="K14" s="22" t="n"/>
      <c r="L14" s="23">
        <f>IF(OR(C14="",H14=""),"n/a",IF(ABS((C14+IFERROR(D14,0)-IFERROR(E14,0)-IFERROR(F14,0))-H14)&lt;=1,"✓ OK","✗ "&amp;TEXT((C14+IFERROR(D14,0)-IFERROR(E14,0)-IFERROR(F14,0))-H14,"#,##0")))</f>
        <v/>
      </c>
    </row>
    <row r="15">
      <c r="A15" s="12" t="inlineStr">
        <is>
          <t>TOTAL</t>
        </is>
      </c>
      <c r="B15" s="13" t="n"/>
      <c r="C15" s="18">
        <f>SUM(C13:C14)</f>
        <v/>
      </c>
      <c r="D15" s="18">
        <f>SUM(D13:D14)</f>
        <v/>
      </c>
      <c r="E15" s="18">
        <f>SUM(E13:E14)</f>
        <v/>
      </c>
      <c r="F15" s="18">
        <f>SUM(F13:F14)</f>
        <v/>
      </c>
      <c r="G15" s="18">
        <f>SUM(G13:G14)</f>
        <v/>
      </c>
      <c r="H15" s="18">
        <f>SUM(H13:H14)</f>
        <v/>
      </c>
      <c r="I15" s="18">
        <f>SUM(I13:I14)</f>
        <v/>
      </c>
      <c r="J15" s="13" t="n"/>
      <c r="K15" s="13" t="n"/>
      <c r="L15" s="13" t="n"/>
    </row>
    <row r="18">
      <c r="A18" s="25" t="inlineStr">
        <is>
          <t>Notes:</t>
        </is>
      </c>
    </row>
    <row r="19">
      <c r="A19" s="26" t="inlineStr">
        <is>
          <t>• Math Check verifies: Opening + Granted - Exercised - Lapsed = Closing (±1 unit tolerance)</t>
        </is>
      </c>
    </row>
    <row r="20">
      <c r="A20" s="26" t="inlineStr">
        <is>
          <t>• Negative numbers shown in parentheses</t>
        </is>
      </c>
    </row>
    <row r="21">
      <c r="A21" s="26" t="inlineStr">
        <is>
          <t>• Empty cells indicate data was not disclosed in source</t>
        </is>
      </c>
    </row>
  </sheetData>
  <mergeCells count="7">
    <mergeCell ref="A20:L20"/>
    <mergeCell ref="A19:L19"/>
    <mergeCell ref="A11:L11"/>
    <mergeCell ref="A18:L18"/>
    <mergeCell ref="A3:L3"/>
    <mergeCell ref="A21:L21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  <col width="16" customWidth="1" min="5" max="5"/>
  </cols>
  <sheetData>
    <row r="1" ht="28" customHeight="1">
      <c r="A1" s="1" t="inlineStr">
        <is>
          <t>TRANCHE-LEVEL DETAIL — INDIVIDUAL GRANTS</t>
        </is>
      </c>
    </row>
    <row r="3">
      <c r="A3" s="2" t="inlineStr">
        <is>
          <t>All Outstanding Tranches by Plan and Grant Date</t>
        </is>
      </c>
    </row>
    <row r="4" ht="30" customHeight="1">
      <c r="A4" s="5" t="inlineStr">
        <is>
          <t>Plan</t>
        </is>
      </c>
      <c r="B4" s="5" t="inlineStr">
        <is>
          <t>Grant Date</t>
        </is>
      </c>
      <c r="C4" s="5" t="inlineStr">
        <is>
          <t>Shares at Period End</t>
        </is>
      </c>
      <c r="D4" s="5" t="inlineStr">
        <is>
          <t>Exercise Price</t>
        </is>
      </c>
      <c r="E4" s="5" t="inlineStr">
        <is>
          <t>Fair Value/Option</t>
        </is>
      </c>
    </row>
    <row r="5">
      <c r="A5" s="27" t="inlineStr">
        <is>
          <t>2023 Share Option Scheme</t>
        </is>
      </c>
      <c r="B5" s="17" t="inlineStr">
        <is>
          <t>2018-01-16</t>
        </is>
      </c>
      <c r="C5" s="10" t="n"/>
      <c r="D5" s="11" t="n">
        <v>387.16</v>
      </c>
      <c r="E5" s="10" t="n"/>
    </row>
    <row r="6">
      <c r="A6" s="27" t="inlineStr">
        <is>
          <t>2023 Share Option Scheme</t>
        </is>
      </c>
      <c r="B6" s="17" t="inlineStr">
        <is>
          <t>2018-04-09</t>
        </is>
      </c>
      <c r="C6" s="10" t="n"/>
      <c r="D6" s="11" t="n">
        <v>358.11</v>
      </c>
      <c r="E6" s="10" t="n"/>
    </row>
    <row r="7">
      <c r="A7" s="27" t="inlineStr">
        <is>
          <t>2023 Share Option Scheme</t>
        </is>
      </c>
      <c r="B7" s="17" t="inlineStr">
        <is>
          <t>2018-06-22</t>
        </is>
      </c>
      <c r="C7" s="10" t="n"/>
      <c r="D7" s="11" t="n">
        <v>348.04</v>
      </c>
      <c r="E7" s="10" t="n"/>
    </row>
    <row r="8">
      <c r="A8" s="27" t="inlineStr">
        <is>
          <t>2023 Share Option Scheme</t>
        </is>
      </c>
      <c r="B8" s="17" t="inlineStr">
        <is>
          <t>2018-07-06</t>
        </is>
      </c>
      <c r="C8" s="10" t="n"/>
      <c r="D8" s="11" t="n">
        <v>332.87</v>
      </c>
      <c r="E8" s="10" t="n"/>
    </row>
    <row r="9">
      <c r="A9" s="27" t="inlineStr">
        <is>
          <t>2023 Share Option Scheme</t>
        </is>
      </c>
      <c r="B9" s="17" t="inlineStr">
        <is>
          <t>2018-08-24</t>
        </is>
      </c>
      <c r="C9" s="10" t="n"/>
      <c r="D9" s="11" t="n">
        <v>302.78</v>
      </c>
      <c r="E9" s="10" t="n"/>
    </row>
    <row r="10">
      <c r="A10" s="27" t="inlineStr">
        <is>
          <t>2023 Share Option Scheme</t>
        </is>
      </c>
      <c r="B10" s="17" t="inlineStr">
        <is>
          <t>2019-04-04</t>
        </is>
      </c>
      <c r="C10" s="8" t="n">
        <v>11583333</v>
      </c>
      <c r="D10" s="11" t="n">
        <v>320.01</v>
      </c>
      <c r="E10" s="10" t="n"/>
    </row>
    <row r="11">
      <c r="A11" s="27" t="inlineStr">
        <is>
          <t>2023 Share Option Scheme</t>
        </is>
      </c>
      <c r="B11" s="17" t="inlineStr">
        <is>
          <t>2019-07-08</t>
        </is>
      </c>
      <c r="C11" s="8" t="n">
        <v>847088</v>
      </c>
      <c r="D11" s="11" t="n">
        <v>306.21</v>
      </c>
      <c r="E11" s="10" t="n"/>
    </row>
    <row r="12">
      <c r="A12" s="27" t="inlineStr">
        <is>
          <t>2023 Share Option Scheme</t>
        </is>
      </c>
      <c r="B12" s="17" t="inlineStr">
        <is>
          <t>2019-08-23</t>
        </is>
      </c>
      <c r="C12" s="8" t="n">
        <v>65598</v>
      </c>
      <c r="D12" s="11" t="n">
        <v>288.46</v>
      </c>
      <c r="E12" s="10" t="n"/>
    </row>
    <row r="13">
      <c r="A13" s="27" t="inlineStr">
        <is>
          <t>2023 Share Option Scheme</t>
        </is>
      </c>
      <c r="B13" s="17" t="inlineStr">
        <is>
          <t>2020-01-08</t>
        </is>
      </c>
      <c r="C13" s="8" t="n">
        <v>64340</v>
      </c>
      <c r="D13" s="11" t="n">
        <v>330.89</v>
      </c>
      <c r="E13" s="10" t="n"/>
    </row>
    <row r="14">
      <c r="A14" s="27" t="inlineStr">
        <is>
          <t>2023 Share Option Scheme</t>
        </is>
      </c>
      <c r="B14" s="17" t="inlineStr">
        <is>
          <t>2020-03-20</t>
        </is>
      </c>
      <c r="C14" s="8" t="n">
        <v>6988000</v>
      </c>
      <c r="D14" s="11" t="n">
        <v>305.66</v>
      </c>
      <c r="E14" s="10" t="n"/>
    </row>
    <row r="15">
      <c r="A15" s="27" t="inlineStr">
        <is>
          <t>2023 Share Option Scheme</t>
        </is>
      </c>
      <c r="B15" s="17" t="inlineStr">
        <is>
          <t>2020-07-10</t>
        </is>
      </c>
      <c r="C15" s="8" t="n">
        <v>887085</v>
      </c>
      <c r="D15" s="11" t="n">
        <v>472.04</v>
      </c>
      <c r="E15" s="10" t="n"/>
    </row>
    <row r="16">
      <c r="A16" s="27" t="inlineStr">
        <is>
          <t>2023 Share Option Scheme</t>
        </is>
      </c>
      <c r="B16" s="17" t="inlineStr">
        <is>
          <t>2020-08-21</t>
        </is>
      </c>
      <c r="C16" s="8" t="n">
        <v>3919</v>
      </c>
      <c r="D16" s="11" t="n">
        <v>444.32</v>
      </c>
      <c r="E16" s="10" t="n"/>
    </row>
    <row r="17">
      <c r="A17" s="27" t="inlineStr">
        <is>
          <t>2023 Share Option Scheme</t>
        </is>
      </c>
      <c r="B17" s="17" t="inlineStr">
        <is>
          <t>2020-11-23</t>
        </is>
      </c>
      <c r="C17" s="8" t="n">
        <v>33044</v>
      </c>
      <c r="D17" s="11" t="n">
        <v>511.83</v>
      </c>
      <c r="E17" s="10" t="n"/>
    </row>
    <row r="18">
      <c r="A18" s="27" t="inlineStr">
        <is>
          <t>2023 Share Option Scheme</t>
        </is>
      </c>
      <c r="B18" s="17" t="inlineStr">
        <is>
          <t>2021-03-30</t>
        </is>
      </c>
      <c r="C18" s="8" t="n">
        <v>4443291</v>
      </c>
      <c r="D18" s="11" t="n">
        <v>533.39</v>
      </c>
      <c r="E18" s="10" t="n"/>
    </row>
    <row r="19">
      <c r="A19" s="27" t="inlineStr">
        <is>
          <t>2023 Share Option Scheme</t>
        </is>
      </c>
      <c r="B19" s="17" t="inlineStr">
        <is>
          <t>2021-06-10</t>
        </is>
      </c>
      <c r="C19" s="8" t="n">
        <v>8694</v>
      </c>
      <c r="D19" s="11" t="n">
        <v>529.1799999999999</v>
      </c>
      <c r="E19" s="10" t="n"/>
    </row>
    <row r="20">
      <c r="A20" s="27" t="inlineStr">
        <is>
          <t>2023 Share Option Scheme</t>
        </is>
      </c>
      <c r="B20" s="17" t="inlineStr">
        <is>
          <t>2021-07-14</t>
        </is>
      </c>
      <c r="C20" s="8" t="n">
        <v>6118267</v>
      </c>
      <c r="D20" s="11" t="n">
        <v>478.17</v>
      </c>
      <c r="E20" s="10" t="n"/>
    </row>
    <row r="21">
      <c r="A21" s="27" t="inlineStr">
        <is>
          <t>2023 Share Option Scheme</t>
        </is>
      </c>
      <c r="B21" s="17" t="inlineStr">
        <is>
          <t>2021-11-16</t>
        </is>
      </c>
      <c r="C21" s="10" t="n"/>
      <c r="D21" s="11" t="n">
        <v>437.83</v>
      </c>
      <c r="E21" s="10" t="n"/>
    </row>
    <row r="22">
      <c r="A22" s="27" t="inlineStr">
        <is>
          <t>2023 Share Option Scheme</t>
        </is>
      </c>
      <c r="B22" s="17" t="inlineStr">
        <is>
          <t>2022-03-24</t>
        </is>
      </c>
      <c r="C22" s="8" t="n">
        <v>8349556</v>
      </c>
      <c r="D22" s="11" t="n">
        <v>343.96</v>
      </c>
      <c r="E22" s="10" t="n"/>
    </row>
    <row r="23">
      <c r="A23" s="27" t="inlineStr">
        <is>
          <t>2023 Share Option Scheme</t>
        </is>
      </c>
      <c r="B23" s="17" t="inlineStr">
        <is>
          <t>2022-08-18</t>
        </is>
      </c>
      <c r="C23" s="8" t="n">
        <v>3507030</v>
      </c>
      <c r="D23" s="11" t="n">
        <v>277.91</v>
      </c>
      <c r="E23" s="10" t="n"/>
    </row>
    <row r="24">
      <c r="A24" s="27" t="inlineStr">
        <is>
          <t>2023 Share Option Scheme</t>
        </is>
      </c>
      <c r="B24" s="17" t="inlineStr">
        <is>
          <t>2023-03-23</t>
        </is>
      </c>
      <c r="C24" s="8" t="n">
        <v>3499571</v>
      </c>
      <c r="D24" s="11" t="n">
        <v>375.6</v>
      </c>
      <c r="E24" s="10" t="n"/>
    </row>
    <row r="25">
      <c r="A25" s="27" t="inlineStr">
        <is>
          <t>2023 Share Option Scheme</t>
        </is>
      </c>
      <c r="B25" s="17" t="inlineStr">
        <is>
          <t>2023-08-17</t>
        </is>
      </c>
      <c r="C25" s="8" t="n">
        <v>13100797</v>
      </c>
      <c r="D25" s="11" t="n">
        <v>334.04</v>
      </c>
      <c r="E25" s="10" t="n"/>
    </row>
    <row r="26">
      <c r="A26" s="27" t="inlineStr">
        <is>
          <t>2023 Share Option Scheme</t>
        </is>
      </c>
      <c r="B26" s="17" t="inlineStr">
        <is>
          <t>2024-03-21</t>
        </is>
      </c>
      <c r="C26" s="8" t="n">
        <v>10838425</v>
      </c>
      <c r="D26" s="11" t="n">
        <v>291.2</v>
      </c>
      <c r="E26" s="10" t="n"/>
    </row>
    <row r="27">
      <c r="A27" s="27" t="inlineStr">
        <is>
          <t>2023 Share Option Scheme</t>
        </is>
      </c>
      <c r="B27" s="17" t="inlineStr">
        <is>
          <t>2024-08-15</t>
        </is>
      </c>
      <c r="C27" s="8" t="n">
        <v>874296</v>
      </c>
      <c r="D27" s="11" t="n">
        <v>373.12</v>
      </c>
      <c r="E27" s="10" t="n"/>
    </row>
    <row r="28">
      <c r="A28" s="27" t="inlineStr">
        <is>
          <t>2023 Share Option Scheme</t>
        </is>
      </c>
      <c r="B28" s="17" t="inlineStr">
        <is>
          <t>2025-03-20</t>
        </is>
      </c>
      <c r="C28" s="8" t="n">
        <v>6663190</v>
      </c>
      <c r="D28" s="11" t="n">
        <v>526.9</v>
      </c>
      <c r="E28" s="10" t="n"/>
    </row>
    <row r="29">
      <c r="A29" s="27" t="inlineStr">
        <is>
          <t>2023 Share Option Scheme</t>
        </is>
      </c>
      <c r="B29" s="17" t="inlineStr">
        <is>
          <t>2025-08-14</t>
        </is>
      </c>
      <c r="C29" s="8" t="n">
        <v>589044</v>
      </c>
      <c r="D29" s="11" t="n">
        <v>590</v>
      </c>
      <c r="E29" s="10" t="n"/>
    </row>
    <row r="30">
      <c r="A30" s="27" t="inlineStr">
        <is>
          <t>2023 Share Option Scheme</t>
        </is>
      </c>
      <c r="B30" s="17" t="inlineStr">
        <is>
          <t>2025-11-14</t>
        </is>
      </c>
      <c r="C30" s="8" t="n">
        <v>20287</v>
      </c>
      <c r="D30" s="11" t="n">
        <v>649.3</v>
      </c>
      <c r="E30" s="10" t="n"/>
    </row>
    <row r="31">
      <c r="A31" s="28" t="inlineStr">
        <is>
          <t>2023 Share Award Scheme</t>
        </is>
      </c>
      <c r="B31" s="17" t="inlineStr">
        <is>
          <t>2025-03-20</t>
        </is>
      </c>
      <c r="C31" s="8" t="n">
        <v>8746</v>
      </c>
      <c r="D31" s="10" t="n"/>
      <c r="E31" s="11" t="n">
        <v>519.5</v>
      </c>
    </row>
    <row r="32">
      <c r="A32" s="12" t="inlineStr">
        <is>
          <t>TOTAL</t>
        </is>
      </c>
      <c r="B32" s="13" t="n"/>
      <c r="C32" s="14">
        <f>SUM(C5:C31)</f>
        <v/>
      </c>
      <c r="D32" s="13" t="n"/>
      <c r="E32" s="13" t="n"/>
    </row>
    <row r="34">
      <c r="A34" s="2" t="inlineStr">
        <is>
          <t>Subtotals by Plan</t>
        </is>
      </c>
    </row>
    <row r="35">
      <c r="A35" s="5" t="inlineStr">
        <is>
          <t>Plan</t>
        </is>
      </c>
      <c r="B35" s="5" t="inlineStr">
        <is>
          <t># Tranches</t>
        </is>
      </c>
      <c r="C35" s="5" t="inlineStr">
        <is>
          <t>Total Shares</t>
        </is>
      </c>
    </row>
    <row r="36">
      <c r="A36" s="27" t="inlineStr">
        <is>
          <t>2023 Share Option Scheme</t>
        </is>
      </c>
      <c r="B36" s="29" t="n">
        <v>26</v>
      </c>
      <c r="C36" s="8">
        <f>SUM(C5:C30)</f>
        <v/>
      </c>
    </row>
    <row r="37">
      <c r="A37" s="28" t="inlineStr">
        <is>
          <t>2023 Share Award Scheme</t>
        </is>
      </c>
      <c r="B37" s="29" t="n">
        <v>1</v>
      </c>
      <c r="C37" s="8">
        <f>SUM(C31:C31)</f>
        <v/>
      </c>
    </row>
  </sheetData>
  <mergeCells count="3">
    <mergeCell ref="A3:G3"/>
    <mergeCell ref="A1:G1"/>
    <mergeCell ref="A34:E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8" customHeight="1">
      <c r="A1" s="1" t="inlineStr">
        <is>
          <t>VALUATION MODEL INPUTS</t>
        </is>
      </c>
    </row>
    <row r="3">
      <c r="A3" s="2" t="inlineStr">
        <is>
          <t>Black-Scholes / Monte Carlo Parameters by Plan</t>
        </is>
      </c>
    </row>
    <row r="4" ht="25" customHeight="1">
      <c r="A4" s="5" t="inlineStr">
        <is>
          <t>Parameter</t>
        </is>
      </c>
      <c r="B4" s="5" t="inlineStr">
        <is>
          <t>2023 Share Option Scheme</t>
        </is>
      </c>
    </row>
    <row r="5">
      <c r="A5" s="6" t="inlineStr">
        <is>
          <t>Valuation Model</t>
        </is>
      </c>
      <c r="B5" s="17" t="inlineStr">
        <is>
          <t>Binomial</t>
        </is>
      </c>
    </row>
    <row r="6">
      <c r="A6" s="6" t="inlineStr">
        <is>
          <t>Expected Volatility (%)</t>
        </is>
      </c>
      <c r="B6" s="30" t="n">
        <v>0.385</v>
      </c>
    </row>
    <row r="7">
      <c r="A7" s="6" t="inlineStr">
        <is>
          <t>Risk-Free Rate (%)</t>
        </is>
      </c>
      <c r="B7" s="30" t="n">
        <v>0.0285</v>
      </c>
    </row>
    <row r="8">
      <c r="A8" s="6" t="inlineStr">
        <is>
          <t>Dividend Yield (%)</t>
        </is>
      </c>
      <c r="B8" s="30" t="n">
        <v>0.00485</v>
      </c>
    </row>
    <row r="9">
      <c r="A9" s="6" t="inlineStr">
        <is>
          <t>Stock Price at Grant</t>
        </is>
      </c>
      <c r="B9" s="11" t="n">
        <v>525.62</v>
      </c>
    </row>
    <row r="10">
      <c r="A10" s="6" t="inlineStr">
        <is>
          <t>Fair Value per Option</t>
        </is>
      </c>
      <c r="B10" s="11" t="n">
        <v>176.35</v>
      </c>
    </row>
  </sheetData>
  <mergeCells count="2">
    <mergeCell ref="A3:B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75" customWidth="1" min="3" max="3"/>
  </cols>
  <sheetData>
    <row r="1" ht="28" customHeight="1">
      <c r="A1" s="1" t="inlineStr">
        <is>
          <t>PLAN TYPES &amp; DESCRIPTIONS</t>
        </is>
      </c>
    </row>
    <row r="3" ht="25" customHeight="1">
      <c r="A3" s="5" t="inlineStr">
        <is>
          <t>Plan</t>
        </is>
      </c>
      <c r="B3" s="5" t="inlineStr">
        <is>
          <t>Plan Type</t>
        </is>
      </c>
      <c r="C3" s="5" t="inlineStr">
        <is>
          <t>Description / Key Features</t>
        </is>
      </c>
    </row>
    <row r="4" ht="35.875" customHeight="1">
      <c r="A4" s="31" t="inlineStr">
        <is>
          <t>2023 Share Option Scheme</t>
        </is>
      </c>
      <c r="B4" s="32" t="inlineStr">
        <is>
          <t>ESOP (Equity-settled)</t>
        </is>
      </c>
      <c r="C4" s="32" t="inlineStr">
        <is>
          <t>Share option scheme for Employee Participants with 10-year maximum vesting period Vesting: Option vesting period determined by the Board, not later than the last day of a 10-year period after grant. Performance conditions: Various performance targets as specified in Notes 16, 17 and 18.</t>
        </is>
      </c>
    </row>
    <row r="5" ht="30" customHeight="1">
      <c r="A5" s="31" t="inlineStr">
        <is>
          <t>2023 Share Award Scheme</t>
        </is>
      </c>
      <c r="B5" s="32" t="inlineStr">
        <is>
          <t>RSU (Nil-cost, Equity-settled)</t>
        </is>
      </c>
      <c r="C5" s="32" t="inlineStr">
        <is>
          <t>Share award scheme to recognise contributions and attract, motivate and retain eligible persons Vesting: Awards can be vested up to a period of approximately 84 months, subject to vesting schedule determined by the Board.</t>
        </is>
      </c>
    </row>
    <row r="6" ht="30" customHeight="1">
      <c r="A6" s="31" t="inlineStr">
        <is>
          <t>2023 Share Option Scheme</t>
        </is>
      </c>
      <c r="B6" s="32" t="inlineStr">
        <is>
          <t>OTHER (Equity-settled)</t>
        </is>
      </c>
      <c r="C6" s="32" t="inlineStr">
        <is>
          <t>Share option scheme for employees and qualifying participants Vesting: Divided into one to four tranches at grant dates with specified exercise periods.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38" customWidth="1" min="6" max="6"/>
  </cols>
  <sheetData>
    <row r="1" ht="28" customHeight="1">
      <c r="A1" s="1" t="inlineStr">
        <is>
          <t>KEY PERFORMANCE INDICATORS &amp; RATIOS</t>
        </is>
      </c>
    </row>
    <row r="3">
      <c r="A3" s="2" t="inlineStr">
        <is>
          <t>Aggregate Activity Metrics</t>
        </is>
      </c>
    </row>
    <row r="4" ht="25" customHeight="1">
      <c r="A4" s="5" t="inlineStr">
        <is>
          <t>Metric</t>
        </is>
      </c>
      <c r="B4" s="5" t="inlineStr">
        <is>
          <t>Current Year</t>
        </is>
      </c>
      <c r="C4" s="5" t="inlineStr">
        <is>
          <t>Prior Year</t>
        </is>
      </c>
      <c r="D4" s="5" t="inlineStr">
        <is>
          <t>Δ Change</t>
        </is>
      </c>
      <c r="E4" s="5" t="inlineStr">
        <is>
          <t>% Change</t>
        </is>
      </c>
      <c r="F4" s="5" t="inlineStr">
        <is>
          <t>Notes</t>
        </is>
      </c>
    </row>
    <row r="5">
      <c r="A5" s="6" t="inlineStr">
        <is>
          <t>Total Opening Balance</t>
        </is>
      </c>
      <c r="B5" s="16" t="n">
        <v>343771296</v>
      </c>
      <c r="C5" s="16" t="n">
        <v>238281998</v>
      </c>
      <c r="D5" s="16">
        <f>IFERROR(B5-C5,"")</f>
        <v/>
      </c>
      <c r="E5" s="33">
        <f>IFERROR((B5-C5)/C5,"")</f>
        <v/>
      </c>
      <c r="F5" s="34" t="inlineStr">
        <is>
          <t>Across all plans</t>
        </is>
      </c>
    </row>
    <row r="6">
      <c r="A6" s="6" t="inlineStr">
        <is>
          <t>Total Granted</t>
        </is>
      </c>
      <c r="B6" s="16" t="n">
        <v>58424510</v>
      </c>
      <c r="C6" s="16" t="n">
        <v>74462668</v>
      </c>
      <c r="D6" s="16">
        <f>IFERROR(B6-C6,"")</f>
        <v/>
      </c>
      <c r="E6" s="33">
        <f>IFERROR((B6-C6)/C6,"")</f>
        <v/>
      </c>
      <c r="F6" s="34" t="inlineStr">
        <is>
          <t>New equity awards</t>
        </is>
      </c>
    </row>
    <row r="7">
      <c r="A7" s="6" t="inlineStr">
        <is>
          <t>Total Exercised</t>
        </is>
      </c>
      <c r="B7" s="16" t="n">
        <v>76779170</v>
      </c>
      <c r="C7" s="16" t="n">
        <v>5684728</v>
      </c>
      <c r="D7" s="16">
        <f>IFERROR(B7-C7,"")</f>
        <v/>
      </c>
      <c r="E7" s="33">
        <f>IFERROR((B7-C7)/C7,"")</f>
        <v/>
      </c>
      <c r="F7" s="34" t="inlineStr">
        <is>
          <t>Awards converted to shares</t>
        </is>
      </c>
    </row>
    <row r="8">
      <c r="A8" s="6" t="inlineStr">
        <is>
          <t>Total Lapsed/Forfeited</t>
        </is>
      </c>
      <c r="B8" s="16" t="n">
        <v>5663947</v>
      </c>
      <c r="C8" s="16" t="n">
        <v>8569198</v>
      </c>
      <c r="D8" s="16">
        <f>IFERROR(B8-C8,"")</f>
        <v/>
      </c>
      <c r="E8" s="33">
        <f>IFERROR((B8-C8)/C8,"")</f>
        <v/>
      </c>
      <c r="F8" s="34" t="inlineStr">
        <is>
          <t>Awards expired or forfeited</t>
        </is>
      </c>
    </row>
    <row r="9">
      <c r="A9" s="6" t="inlineStr">
        <is>
          <t>Total Closing Balance</t>
        </is>
      </c>
      <c r="B9" s="16" t="n">
        <v>273452254</v>
      </c>
      <c r="C9" s="16" t="n">
        <v>234550171</v>
      </c>
      <c r="D9" s="16">
        <f>IFERROR(B9-C9,"")</f>
        <v/>
      </c>
      <c r="E9" s="33">
        <f>IFERROR((B9-C9)/C9,"")</f>
        <v/>
      </c>
      <c r="F9" s="34" t="inlineStr">
        <is>
          <t>Outstanding at period end</t>
        </is>
      </c>
    </row>
    <row r="12">
      <c r="A12" s="2" t="inlineStr">
        <is>
          <t>Activity Rates (% of Opening Balance)</t>
        </is>
      </c>
    </row>
    <row r="13" ht="25" customHeight="1">
      <c r="A13" s="5" t="inlineStr">
        <is>
          <t>Metric</t>
        </is>
      </c>
      <c r="B13" s="5" t="inlineStr">
        <is>
          <t>Current Year</t>
        </is>
      </c>
      <c r="C13" s="5" t="inlineStr">
        <is>
          <t>Prior Year</t>
        </is>
      </c>
      <c r="D13" s="5" t="inlineStr">
        <is>
          <t>Δ Change</t>
        </is>
      </c>
      <c r="E13" s="5" t="inlineStr">
        <is>
          <t>% Change</t>
        </is>
      </c>
      <c r="F13" s="5" t="inlineStr">
        <is>
          <t>Notes</t>
        </is>
      </c>
    </row>
    <row r="14">
      <c r="A14" s="6" t="inlineStr">
        <is>
          <t>Grant Rate</t>
        </is>
      </c>
      <c r="B14" s="33">
        <f>IFERROR(B6/B5,"")</f>
        <v/>
      </c>
      <c r="C14" s="33">
        <f>IFERROR(C6/C5,"")</f>
        <v/>
      </c>
      <c r="D14" s="33">
        <f>IFERROR(B14-C14,"")</f>
        <v/>
      </c>
      <c r="E14" s="10" t="n"/>
      <c r="F14" s="34" t="inlineStr">
        <is>
          <t>New grants as % of opening</t>
        </is>
      </c>
    </row>
    <row r="15">
      <c r="A15" s="6" t="inlineStr">
        <is>
          <t>Exercise Rate</t>
        </is>
      </c>
      <c r="B15" s="33">
        <f>IFERROR(B7/B5,"")</f>
        <v/>
      </c>
      <c r="C15" s="33">
        <f>IFERROR(C7/C5,"")</f>
        <v/>
      </c>
      <c r="D15" s="33">
        <f>IFERROR(B15-C15,"")</f>
        <v/>
      </c>
      <c r="E15" s="10" t="n"/>
      <c r="F15" s="34" t="inlineStr">
        <is>
          <t>Conversion rate</t>
        </is>
      </c>
    </row>
    <row r="16">
      <c r="A16" s="6" t="inlineStr">
        <is>
          <t>Lapse Rate</t>
        </is>
      </c>
      <c r="B16" s="33">
        <f>IFERROR(B8/B5,"")</f>
        <v/>
      </c>
      <c r="C16" s="33">
        <f>IFERROR(C8/C5,"")</f>
        <v/>
      </c>
      <c r="D16" s="33">
        <f>IFERROR(B16-C16,"")</f>
        <v/>
      </c>
      <c r="E16" s="10" t="n"/>
      <c r="F16" s="34" t="inlineStr">
        <is>
          <t>Forfeit/expiry rate</t>
        </is>
      </c>
    </row>
    <row r="17">
      <c r="A17" s="6" t="inlineStr">
        <is>
          <t>Retention Rate</t>
        </is>
      </c>
      <c r="B17" s="33">
        <f>IFERROR(B9/B5,"")</f>
        <v/>
      </c>
      <c r="C17" s="33">
        <f>IFERROR(C9/C5,"")</f>
        <v/>
      </c>
      <c r="D17" s="33">
        <f>IFERROR(B17-C17,"")</f>
        <v/>
      </c>
      <c r="E17" s="10" t="n"/>
      <c r="F17" s="34" t="inlineStr">
        <is>
          <t>Awards remaining outstanding</t>
        </is>
      </c>
    </row>
    <row r="21">
      <c r="A21" s="2" t="inlineStr">
        <is>
          <t>Plan Composition (Current Year Closing)</t>
        </is>
      </c>
    </row>
    <row r="22" ht="25" customHeight="1">
      <c r="A22" s="5" t="inlineStr">
        <is>
          <t>Plan</t>
        </is>
      </c>
      <c r="B22" s="5" t="inlineStr">
        <is>
          <t>Closing Balance</t>
        </is>
      </c>
      <c r="C22" s="5" t="inlineStr">
        <is>
          <t>% of Total</t>
        </is>
      </c>
      <c r="D22" s="5" t="inlineStr">
        <is>
          <t>Plan Type</t>
        </is>
      </c>
      <c r="E22" s="5" t="inlineStr">
        <is>
          <t>Settlement</t>
        </is>
      </c>
    </row>
    <row r="23">
      <c r="A23" s="6" t="inlineStr">
        <is>
          <t>2023 Share Option Scheme</t>
        </is>
      </c>
      <c r="B23" s="8" t="n">
        <v>77706770</v>
      </c>
      <c r="C23" s="9">
        <f>B23/SUM($B$23:$B$25)</f>
        <v/>
      </c>
      <c r="D23" s="7" t="inlineStr">
        <is>
          <t>ESOP</t>
        </is>
      </c>
      <c r="E23" s="7" t="inlineStr">
        <is>
          <t>Equity-settled</t>
        </is>
      </c>
    </row>
    <row r="24">
      <c r="A24" s="6" t="inlineStr">
        <is>
          <t>2023 Share Award Scheme</t>
        </is>
      </c>
      <c r="B24" s="8" t="n">
        <v>118038714</v>
      </c>
      <c r="C24" s="9">
        <f>B24/SUM($B$23:$B$25)</f>
        <v/>
      </c>
      <c r="D24" s="7" t="inlineStr">
        <is>
          <t>RSU</t>
        </is>
      </c>
      <c r="E24" s="7" t="inlineStr">
        <is>
          <t>Equity-settled</t>
        </is>
      </c>
    </row>
    <row r="25">
      <c r="A25" s="6" t="inlineStr">
        <is>
          <t>2023 Share Option Scheme</t>
        </is>
      </c>
      <c r="B25" s="8" t="n">
        <v>77706770</v>
      </c>
      <c r="C25" s="9">
        <f>B25/SUM($B$23:$B$25)</f>
        <v/>
      </c>
      <c r="D25" s="7" t="inlineStr">
        <is>
          <t>OTHER</t>
        </is>
      </c>
      <c r="E25" s="7" t="inlineStr">
        <is>
          <t>Equity-settled</t>
        </is>
      </c>
    </row>
    <row r="26">
      <c r="A26" s="12" t="inlineStr">
        <is>
          <t>TOTAL</t>
        </is>
      </c>
      <c r="B26" s="14">
        <f>SUM(B23:B25)</f>
        <v/>
      </c>
      <c r="C26" s="15" t="inlineStr">
        <is>
          <t>100.0%</t>
        </is>
      </c>
      <c r="D26" s="13" t="n"/>
      <c r="E26" s="13" t="n"/>
    </row>
  </sheetData>
  <mergeCells count="4">
    <mergeCell ref="A3:F3"/>
    <mergeCell ref="A21:F21"/>
    <mergeCell ref="A1:F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DATA QUALITY &amp; EXTRACTION METADATA</t>
        </is>
      </c>
    </row>
    <row r="3">
      <c r="A3" s="2" t="inlineStr">
        <is>
          <t>Field Completeness by Plan</t>
        </is>
      </c>
    </row>
    <row r="4" ht="25" customHeight="1">
      <c r="A4" s="5" t="inlineStr">
        <is>
          <t>Field Category</t>
        </is>
      </c>
      <c r="B4" s="5" t="inlineStr">
        <is>
          <t xml:space="preserve">2023 Share Option </t>
        </is>
      </c>
      <c r="C4" s="5" t="inlineStr">
        <is>
          <t>2023 Share Award S</t>
        </is>
      </c>
      <c r="D4" s="5" t="inlineStr">
        <is>
          <t xml:space="preserve">2023 Share Option </t>
        </is>
      </c>
    </row>
    <row r="5">
      <c r="A5" s="6" t="inlineStr">
        <is>
          <t>Plan Identity (Name, Type)</t>
        </is>
      </c>
      <c r="B5" s="35" t="inlineStr">
        <is>
          <t>✓</t>
        </is>
      </c>
      <c r="C5" s="35" t="inlineStr">
        <is>
          <t>✓</t>
        </is>
      </c>
      <c r="D5" s="35" t="inlineStr">
        <is>
          <t>✓</t>
        </is>
      </c>
    </row>
    <row r="6">
      <c r="A6" s="6" t="inlineStr">
        <is>
          <t>Roll-forward (Opening → Closing)</t>
        </is>
      </c>
      <c r="B6" s="35" t="inlineStr">
        <is>
          <t>✓</t>
        </is>
      </c>
      <c r="C6" s="35" t="inlineStr">
        <is>
          <t>✓</t>
        </is>
      </c>
      <c r="D6" s="35" t="inlineStr">
        <is>
          <t>✓</t>
        </is>
      </c>
    </row>
    <row r="7">
      <c r="A7" s="6" t="inlineStr">
        <is>
          <t>Weighted Avg Exercise Price</t>
        </is>
      </c>
      <c r="B7" s="36" t="inlineStr">
        <is>
          <t>✗</t>
        </is>
      </c>
      <c r="C7" s="36" t="inlineStr">
        <is>
          <t>✗</t>
        </is>
      </c>
      <c r="D7" s="35" t="inlineStr">
        <is>
          <t>✓</t>
        </is>
      </c>
    </row>
    <row r="8">
      <c r="A8" s="6" t="inlineStr">
        <is>
          <t>Exercise Price Range</t>
        </is>
      </c>
      <c r="B8" s="36" t="inlineStr">
        <is>
          <t>✗</t>
        </is>
      </c>
      <c r="C8" s="36" t="inlineStr">
        <is>
          <t>✗</t>
        </is>
      </c>
      <c r="D8" s="35" t="inlineStr">
        <is>
          <t>✓</t>
        </is>
      </c>
    </row>
    <row r="9">
      <c r="A9" s="6" t="inlineStr">
        <is>
          <t>Valuation Model</t>
        </is>
      </c>
      <c r="B9" s="36" t="inlineStr">
        <is>
          <t>✗</t>
        </is>
      </c>
      <c r="C9" s="36" t="inlineStr">
        <is>
          <t>✗</t>
        </is>
      </c>
      <c r="D9" s="35" t="inlineStr">
        <is>
          <t>✓</t>
        </is>
      </c>
    </row>
    <row r="10">
      <c r="A10" s="6" t="inlineStr">
        <is>
          <t>Volatility / Risk-Free Rate</t>
        </is>
      </c>
      <c r="B10" s="36" t="inlineStr">
        <is>
          <t>✗</t>
        </is>
      </c>
      <c r="C10" s="36" t="inlineStr">
        <is>
          <t>✗</t>
        </is>
      </c>
      <c r="D10" s="35" t="inlineStr">
        <is>
          <t>✓</t>
        </is>
      </c>
    </row>
    <row r="11">
      <c r="A11" s="6" t="inlineStr">
        <is>
          <t>Dividend Yield</t>
        </is>
      </c>
      <c r="B11" s="36" t="inlineStr">
        <is>
          <t>✗</t>
        </is>
      </c>
      <c r="C11" s="36" t="inlineStr">
        <is>
          <t>✗</t>
        </is>
      </c>
      <c r="D11" s="35" t="inlineStr">
        <is>
          <t>✓</t>
        </is>
      </c>
    </row>
    <row r="12">
      <c r="A12" s="6" t="inlineStr">
        <is>
          <t>Fair Value per Option</t>
        </is>
      </c>
      <c r="B12" s="36" t="inlineStr">
        <is>
          <t>✗</t>
        </is>
      </c>
      <c r="C12" s="36" t="inlineStr">
        <is>
          <t>✗</t>
        </is>
      </c>
      <c r="D12" s="35" t="inlineStr">
        <is>
          <t>✓</t>
        </is>
      </c>
    </row>
    <row r="13">
      <c r="A13" s="6" t="inlineStr">
        <is>
          <t>Tranche-Level Detail</t>
        </is>
      </c>
      <c r="B13" s="35" t="inlineStr">
        <is>
          <t>✓</t>
        </is>
      </c>
      <c r="C13" s="35" t="inlineStr">
        <is>
          <t>✓</t>
        </is>
      </c>
      <c r="D13" s="36" t="inlineStr">
        <is>
          <t>✗</t>
        </is>
      </c>
    </row>
    <row r="14">
      <c r="A14" s="6" t="inlineStr">
        <is>
          <t>Prior Year Comparatives</t>
        </is>
      </c>
      <c r="B14" s="36" t="inlineStr">
        <is>
          <t>✗</t>
        </is>
      </c>
      <c r="C14" s="35" t="inlineStr">
        <is>
          <t>✓</t>
        </is>
      </c>
      <c r="D14" s="35" t="inlineStr">
        <is>
          <t>✓</t>
        </is>
      </c>
    </row>
    <row r="15">
      <c r="A15" s="6" t="inlineStr">
        <is>
          <t>Performance Conditions</t>
        </is>
      </c>
      <c r="B15" s="35" t="inlineStr">
        <is>
          <t>✓</t>
        </is>
      </c>
      <c r="C15" s="36" t="inlineStr">
        <is>
          <t>✗</t>
        </is>
      </c>
      <c r="D15" s="36" t="inlineStr">
        <is>
          <t>✗</t>
        </is>
      </c>
    </row>
    <row r="18">
      <c r="A18" s="2" t="inlineStr">
        <is>
          <t>Validation Summary</t>
        </is>
      </c>
    </row>
    <row r="19">
      <c r="A19" s="5" t="inlineStr">
        <is>
          <t>Validation Item</t>
        </is>
      </c>
      <c r="B19" s="5" t="inlineStr">
        <is>
          <t>Value</t>
        </is>
      </c>
      <c r="C19" s="5" t="inlineStr">
        <is>
          <t>Notes</t>
        </is>
      </c>
    </row>
    <row r="20">
      <c r="A20" s="6" t="inlineStr">
        <is>
          <t>Total Plans Detected</t>
        </is>
      </c>
      <c r="B20" s="37" t="n">
        <v>3</v>
      </c>
      <c r="C20" s="34" t="inlineStr">
        <is>
          <t>All plans on source pages captured</t>
        </is>
      </c>
    </row>
    <row r="21">
      <c r="A21" s="6" t="inlineStr">
        <is>
          <t>Plans with Complete Roll-forward</t>
        </is>
      </c>
      <c r="B21" s="37" t="n">
        <v>3</v>
      </c>
      <c r="C21" s="34" t="inlineStr">
        <is>
          <t>Both opening and closing balance</t>
        </is>
      </c>
    </row>
    <row r="22">
      <c r="A22" s="6" t="inlineStr">
        <is>
          <t>Plans with Valuation Inputs</t>
        </is>
      </c>
      <c r="B22" s="37" t="n">
        <v>1</v>
      </c>
      <c r="C22" s="34" t="inlineStr">
        <is>
          <t>Black-Scholes or similar</t>
        </is>
      </c>
    </row>
    <row r="23">
      <c r="A23" s="6" t="inlineStr">
        <is>
          <t>Plans with Tranches</t>
        </is>
      </c>
      <c r="B23" s="37" t="n">
        <v>2</v>
      </c>
      <c r="C23" s="34" t="inlineStr">
        <is>
          <t>Per-grant detail extracted</t>
        </is>
      </c>
    </row>
    <row r="24">
      <c r="A24" s="6" t="inlineStr">
        <is>
          <t>Plans with Prior Year Data</t>
        </is>
      </c>
      <c r="B24" s="37" t="n">
        <v>2</v>
      </c>
      <c r="C24" s="34" t="inlineStr">
        <is>
          <t>Comparative columns extracted</t>
        </is>
      </c>
    </row>
    <row r="25">
      <c r="A25" s="6" t="inlineStr">
        <is>
          <t>Plans with Exercise Price</t>
        </is>
      </c>
      <c r="B25" s="37" t="n">
        <v>1</v>
      </c>
      <c r="C25" s="34" t="inlineStr">
        <is>
          <t>Non-nil cost plans</t>
        </is>
      </c>
    </row>
    <row r="26">
      <c r="A26" s="6" t="inlineStr">
        <is>
          <t>Nil-cost Plans</t>
        </is>
      </c>
      <c r="B26" s="37" t="n">
        <v>1</v>
      </c>
      <c r="C26" s="34" t="inlineStr">
        <is>
          <t>RSU/PSP style awards</t>
        </is>
      </c>
    </row>
    <row r="29">
      <c r="A29" s="2" t="inlineStr">
        <is>
          <t>Extraction Metadata</t>
        </is>
      </c>
    </row>
    <row r="30">
      <c r="A30" s="3" t="inlineStr">
        <is>
          <t>Source PDF</t>
        </is>
      </c>
      <c r="B30" s="4" t="inlineStr">
        <is>
          <t>700_HK_annual.pdf</t>
        </is>
      </c>
    </row>
    <row r="31">
      <c r="A31" s="3" t="inlineStr">
        <is>
          <t>Total PDF Pages</t>
        </is>
      </c>
      <c r="B31" s="4" t="n">
        <v>282</v>
      </c>
    </row>
    <row r="32">
      <c r="A32" s="3" t="inlineStr">
        <is>
          <t>Pages Processed</t>
        </is>
      </c>
      <c r="B32" s="4" t="inlineStr">
        <is>
          <t>31, 32, 33, 34, 35, 36, 37, 39, 41, 43, 44, 47, 48, 191, 251, 252, 253, 254</t>
        </is>
      </c>
    </row>
  </sheetData>
  <mergeCells count="14">
    <mergeCell ref="C22:F22"/>
    <mergeCell ref="B30:F30"/>
    <mergeCell ref="C23:F23"/>
    <mergeCell ref="B32:F32"/>
    <mergeCell ref="A1:F1"/>
    <mergeCell ref="A3:D3"/>
    <mergeCell ref="C20:F20"/>
    <mergeCell ref="C26:F26"/>
    <mergeCell ref="C21:F21"/>
    <mergeCell ref="B31:F31"/>
    <mergeCell ref="A18:F18"/>
    <mergeCell ref="C25:F25"/>
    <mergeCell ref="C24:F2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2026-06-03T16:15:49Z</dcterms:created>
  <dcterms:modified xmlns:dcterms="http://purl.org/dc/terms/" xmlns:xsi="http://www.w3.org/2001/XMLSchema-instance" xsi:type="dcterms:W3CDTF">2026-06-03T16:15:49Z</dcterms:modified>
</cp:coreProperties>
</file>